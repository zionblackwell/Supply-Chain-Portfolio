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Inventory Data" sheetId="2" state="visible" r:id="rId4"/>
    <sheet name="Project Guid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<sst xmlns="http://schemas.openxmlformats.org/spreadsheetml/2006/main" count="110" uniqueCount="88">
  <si>
    <t xml:space="preserve">FRESH FORK  |  INVENTORY CONTROL CENTER</t>
  </si>
  <si>
    <t xml:space="preserve">POS-TO-INVENTORY “SELL-TO-SHELF” CONCEPT  •  SAMPLE DATA</t>
  </si>
  <si>
    <t xml:space="preserve">REORDER FLAGS</t>
  </si>
  <si>
    <t xml:space="preserve">SPOILAGE RISK</t>
  </si>
  <si>
    <t xml:space="preserve">SUGGESTED ORDER</t>
  </si>
  <si>
    <t xml:space="preserve">INVENTORY VALUE</t>
  </si>
  <si>
    <t xml:space="preserve">INVENTORY STATUS</t>
  </si>
  <si>
    <t xml:space="preserve">Ingredient</t>
  </si>
  <si>
    <t xml:space="preserve">On hand</t>
  </si>
  <si>
    <t xml:space="preserve">Reorder point</t>
  </si>
  <si>
    <t xml:space="preserve">Days cover</t>
  </si>
  <si>
    <t xml:space="preserve">Status</t>
  </si>
  <si>
    <t xml:space="preserve">Spoilage</t>
  </si>
  <si>
    <t xml:space="preserve">Lowest cover</t>
  </si>
  <si>
    <t xml:space="preserve">Days of cover</t>
  </si>
  <si>
    <t xml:space="preserve">REORDER POINT  =  avg daily use × supplier lead time + safety stock</t>
  </si>
  <si>
    <t xml:space="preserve">SAFETY STOCK  =  z-score (95% service level) × daily-use std dev × √lead time</t>
  </si>
  <si>
    <t xml:space="preserve">SPOILAGE RISK  =  days of cover &gt; shelf life  •  suggested orders are capped at what can be used before expiry</t>
  </si>
  <si>
    <t xml:space="preserve">FRESH FORK  /  INVENTORY INPUTS</t>
  </si>
  <si>
    <t xml:space="preserve">Edit the ivory input columns (D:I) and the service level below to explore reorder and spoilage recommendations.</t>
  </si>
  <si>
    <t xml:space="preserve">Category</t>
  </si>
  <si>
    <t xml:space="preserve">Unit</t>
  </si>
  <si>
    <t xml:space="preserve">Avg daily use</t>
  </si>
  <si>
    <t xml:space="preserve">Daily use std dev</t>
  </si>
  <si>
    <t xml:space="preserve">Lead time (days)</t>
  </si>
  <si>
    <t xml:space="preserve">Shelf life (days)</t>
  </si>
  <si>
    <t xml:space="preserve">Unit cost ($)</t>
  </si>
  <si>
    <t xml:space="preserve">Safety stock</t>
  </si>
  <si>
    <t xml:space="preserve">Reorder status</t>
  </si>
  <si>
    <t xml:space="preserve">Spoilage risk</t>
  </si>
  <si>
    <t xml:space="preserve">Excess units</t>
  </si>
  <si>
    <t xml:space="preserve">Suggested order</t>
  </si>
  <si>
    <t xml:space="preserve">Order cost ($)</t>
  </si>
  <si>
    <t xml:space="preserve">Stock value ($)</t>
  </si>
  <si>
    <t xml:space="preserve">At-risk value ($)</t>
  </si>
  <si>
    <t xml:space="preserve">Cover rank</t>
  </si>
  <si>
    <t xml:space="preserve">Chicken breast</t>
  </si>
  <si>
    <t xml:space="preserve">Protein</t>
  </si>
  <si>
    <t xml:space="preserve">lb</t>
  </si>
  <si>
    <t xml:space="preserve">Avocados</t>
  </si>
  <si>
    <t xml:space="preserve">Produce</t>
  </si>
  <si>
    <t xml:space="preserve">each</t>
  </si>
  <si>
    <t xml:space="preserve">Romaine lettuce</t>
  </si>
  <si>
    <t xml:space="preserve">head</t>
  </si>
  <si>
    <t xml:space="preserve">Tomatoes</t>
  </si>
  <si>
    <t xml:space="preserve">Brown rice</t>
  </si>
  <si>
    <t xml:space="preserve">Dry goods</t>
  </si>
  <si>
    <t xml:space="preserve">Tortillas</t>
  </si>
  <si>
    <t xml:space="preserve">Black beans</t>
  </si>
  <si>
    <t xml:space="preserve">Cucumbers</t>
  </si>
  <si>
    <t xml:space="preserve">Feta cheese</t>
  </si>
  <si>
    <t xml:space="preserve">Dairy</t>
  </si>
  <si>
    <t xml:space="preserve">Spinach</t>
  </si>
  <si>
    <t xml:space="preserve">bag</t>
  </si>
  <si>
    <t xml:space="preserve">Olive oil</t>
  </si>
  <si>
    <t xml:space="preserve">Pantry</t>
  </si>
  <si>
    <t xml:space="preserve">bottle</t>
  </si>
  <si>
    <t xml:space="preserve">Lemons</t>
  </si>
  <si>
    <t xml:space="preserve">ASSUMPTIONS</t>
  </si>
  <si>
    <t xml:space="preserve">Target service level</t>
  </si>
  <si>
    <t xml:space="preserve">Z-score (calculated)</t>
  </si>
  <si>
    <t xml:space="preserve">FRESH FORK | PROJECT GUIDE</t>
  </si>
  <si>
    <t xml:space="preserve">01</t>
  </si>
  <si>
    <t xml:space="preserve">Purpose</t>
  </si>
  <si>
    <t xml:space="preserve">Shows how point-of-sale ingredient deductions could feed an inventory dashboard that prevents both stockouts and spoilage.</t>
  </si>
  <si>
    <t xml:space="preserve">02</t>
  </si>
  <si>
    <t xml:space="preserve">Sample data</t>
  </si>
  <si>
    <t xml:space="preserve">Every ingredient quantity, cost, consumption rate, shelf life and lead time is fictional.</t>
  </si>
  <si>
    <t xml:space="preserve">03</t>
  </si>
  <si>
    <t xml:space="preserve">Edit inputs</t>
  </si>
  <si>
    <t xml:space="preserve">Open Inventory Data; edit the ivory input columns D:I and the target service level (B19). Formulas update automatically.</t>
  </si>
  <si>
    <t xml:space="preserve">04</t>
  </si>
  <si>
    <t xml:space="preserve">z-score for the target service level × standard deviation of daily usage × √lead time, rounded up.</t>
  </si>
  <si>
    <t xml:space="preserve">05</t>
  </si>
  <si>
    <t xml:space="preserve">Average daily usage × lead time + safety stock. Flags REORDER when on-hand ≤ reorder point.</t>
  </si>
  <si>
    <t xml:space="preserve">06</t>
  </si>
  <si>
    <t xml:space="preserve">Flags AT RISK when days of cover exceed shelf life; excess units × unit cost estimates the value likely to be wasted.</t>
  </si>
  <si>
    <t xml:space="preserve">07</t>
  </si>
  <si>
    <t xml:space="preserve">Order up to reorder point + 3 days of usage, capped at what can be used within shelf life.</t>
  </si>
  <si>
    <t xml:space="preserve">08</t>
  </si>
  <si>
    <t xml:space="preserve">Limitations</t>
  </si>
  <si>
    <t xml:space="preserve">Not connected to a live POS system or supplier; waste figures are estimates, not tracked actuals.</t>
  </si>
  <si>
    <t xml:space="preserve">09</t>
  </si>
  <si>
    <t xml:space="preserve">Case study context</t>
  </si>
  <si>
    <t xml:space="preserve">Fresh Fork is a hypothetical scenario; separate from the real Rutgers Flavour Hub team project.</t>
  </si>
  <si>
    <t xml:space="preserve">10</t>
  </si>
  <si>
    <t xml:space="preserve">Scenario detail</t>
  </si>
  <si>
    <t xml:space="preserve">The case prompt cites about 20% weekly produce waste; the spoilage flags and shelf-life cap target that problem directly.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</si>
</sst>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\$#,##0.00"/>
    <numFmt numFmtId="167" formatCode="General"/>
    <numFmt numFmtId="168" formatCode="0.0"/>
    <numFmt numFmtId="169" formatCode="\$#,##0.00"/>
    <numFmt numFmtId="170" formatCode="0%"/>
    <numFmt numFmtId="171" formatCode="0.00"/>
  </numFmts>
  <fonts count="2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2"/>
      <color rgb="FFFFFFFF"/>
      <name val="Times New Roman"/>
      <family val="1"/>
      <charset val="1"/>
    </font>
    <font>
      <sz val="12"/>
      <color rgb="FFFFFFFF"/>
      <name val="Times New Roman"/>
      <family val="1"/>
      <charset val="1"/>
    </font>
    <font>
      <sz val="12"/>
      <color rgb="FF27332E"/>
      <name val="Times New Roman"/>
      <family val="1"/>
      <charset val="1"/>
    </font>
    <font>
      <i val="true"/>
      <sz val="12"/>
      <color rgb="FF294A40"/>
      <name val="Times New Roman"/>
      <family val="1"/>
      <charset val="1"/>
    </font>
    <font>
      <sz val="12"/>
      <color rgb="FF294A40"/>
      <name val="Times New Roman"/>
      <family val="1"/>
      <charset val="1"/>
    </font>
    <font>
      <b val="true"/>
      <sz val="12"/>
      <color rgb="FF294A40"/>
      <name val="Times New Roman"/>
      <family val="1"/>
      <charset val="1"/>
    </font>
    <font>
      <i val="true"/>
      <sz val="12"/>
      <color rgb="FF27332E"/>
      <name val="Times New Roman"/>
      <family val="1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6"/>
      <color rgb="FFFFFFFF"/>
      <name val="Calibri"/>
      <family val="2"/>
      <charset val="1"/>
    </font>
    <font>
      <i val="true"/>
      <sz val="11"/>
      <color rgb="FF294A40"/>
      <name val="Calibri"/>
      <family val="2"/>
      <charset val="1"/>
    </font>
    <font>
      <sz val="11"/>
      <color rgb="FF27332E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4"/>
      <color rgb="FFFFFFFF"/>
      <name val="Times New Roman"/>
      <family val="1"/>
      <charset val="1"/>
    </font>
    <font>
      <sz val="14"/>
      <color rgb="FF27332E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color rgb="FF294A40"/>
      <name val="Times New Roman"/>
      <family val="1"/>
      <charset val="1"/>
    </font>
    <font>
      <b val="true"/>
      <sz val="14"/>
      <color rgb="FF27332E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294A40"/>
        <bgColor rgb="FF27332E"/>
      </patternFill>
    </fill>
    <fill>
      <patternFill patternType="solid">
        <fgColor rgb="FFFAF9F5"/>
        <bgColor rgb="FFFFFFFF"/>
      </patternFill>
    </fill>
    <fill>
      <patternFill patternType="solid">
        <fgColor rgb="FFEAF2EC"/>
        <bgColor rgb="FFE6F2E9"/>
      </patternFill>
    </fill>
    <fill>
      <patternFill patternType="solid">
        <fgColor rgb="FFFFFFFF"/>
        <bgColor rgb="FFFAF9F5"/>
      </patternFill>
    </fill>
    <fill>
      <patternFill patternType="solid">
        <fgColor rgb="FFE9E2D6"/>
        <bgColor rgb="FFDDDDDD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4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0" fillId="4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5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7" fillId="6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" fillId="5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7" fillId="5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7" fillId="5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7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7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7" fillId="6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7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ont>
        <b val="1"/>
        <color rgb="FF9A3D30"/>
      </font>
      <fill>
        <patternFill>
          <bgColor rgb="FFFCEAE7"/>
        </patternFill>
      </fill>
    </dxf>
    <dxf>
      <font>
        <b val="1"/>
        <color rgb="FF9A4035"/>
      </font>
      <fill>
        <patternFill>
          <bgColor rgb="FFFBE9E5"/>
        </patternFill>
      </fill>
    </dxf>
    <dxf>
      <font>
        <b val="1"/>
        <color rgb="FF276547"/>
      </font>
      <fill>
        <patternFill>
          <bgColor rgb="FFE6F2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76547"/>
      <rgbColor rgb="FFB3B3B3"/>
      <rgbColor rgb="FF808080"/>
      <rgbColor rgb="FF9999FF"/>
      <rgbColor rgb="FF9A4035"/>
      <rgbColor rgb="FFFAF9F5"/>
      <rgbColor rgb="FFE6F2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EC"/>
      <rgbColor rgb="FFE9E2D6"/>
      <rgbColor rgb="FFFBE9E5"/>
      <rgbColor rgb="FFFCEAE7"/>
      <rgbColor rgb="FFFF99CC"/>
      <rgbColor rgb="FFCC99FF"/>
      <rgbColor rgb="FFDDDDD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94A40"/>
      <rgbColor rgb="FF9A3D30"/>
      <rgbColor rgb="FF993366"/>
      <rgbColor rgb="FF333399"/>
      <rgbColor rgb="FF2733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Lowest 5 · days of inventory cover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Dashboard!O11</c:f>
              <c:strCache>
                <c:ptCount val="1"/>
                <c:pt idx="0">
                  <c:v>Days of cover</c:v>
                </c:pt>
              </c:strCache>
            </c:strRef>
          </c:tx>
          <c:spPr>
            <a:solidFill>
              <a:srgbClr val="294a40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Dashboard!$N$12:$N$16</c:f>
              <c:strCache>
                <c:ptCount val="5"/>
                <c:pt idx="0">
                  <c:v>Avocados</c:v>
                </c:pt>
                <c:pt idx="1">
                  <c:v>Spinach</c:v>
                </c:pt>
                <c:pt idx="2">
                  <c:v>Chicken breast</c:v>
                </c:pt>
                <c:pt idx="3">
                  <c:v>Tortillas</c:v>
                </c:pt>
                <c:pt idx="4">
                  <c:v>Feta cheese</c:v>
                </c:pt>
              </c:strCache>
            </c:strRef>
          </c:cat>
          <c:val>
            <c:numRef>
              <c:f>Dashboard!$O$12:$O$16</c:f>
              <c:numCache>
                <c:formatCode>0.0</c:formatCode>
                <c:ptCount val="5"/>
                <c:pt idx="0">
                  <c:v>1.94444444444444</c:v>
                </c:pt>
                <c:pt idx="1">
                  <c:v>2.6</c:v>
                </c:pt>
                <c:pt idx="2">
                  <c:v>2.8</c:v>
                </c:pt>
                <c:pt idx="3">
                  <c:v>3.08823529411765</c:v>
                </c:pt>
                <c:pt idx="4">
                  <c:v>3.2</c:v>
                </c:pt>
              </c:numCache>
            </c:numRef>
          </c:val>
        </c:ser>
        <c:gapWidth val="60"/>
        <c:overlap val="0"/>
        <c:axId val="22419553"/>
        <c:axId val="17244311"/>
      </c:barChart>
      <c:catAx>
        <c:axId val="224195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7244311"/>
        <c:crosses val="autoZero"/>
        <c:auto val="1"/>
        <c:lblAlgn val="ctr"/>
        <c:lblOffset val="100"/>
        <c:noMultiLvlLbl val="0"/>
      </c:catAx>
      <c:valAx>
        <c:axId val="17244311"/>
        <c:scaling>
          <c:orientation val="minMax"/>
        </c:scaling>
        <c:delete val="0"/>
        <c:axPos val="l"/>
        <c:majorGridlines>
          <c:spPr>
            <a:ln w="12600">
              <a:solidFill>
                <a:srgbClr val="dddddd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24195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9</xdr:row>
      <xdr:rowOff>0</xdr:rowOff>
    </xdr:from>
    <xdr:to>
      <xdr:col>11</xdr:col>
      <xdr:colOff>596160</xdr:colOff>
      <xdr:row>21</xdr:row>
      <xdr:rowOff>87840</xdr:rowOff>
    </xdr:to>
    <xdr:graphicFrame>
      <xdr:nvGraphicFramePr>
        <xdr:cNvPr id="0" name="Chart 1"/>
        <xdr:cNvGraphicFramePr/>
      </xdr:nvGraphicFramePr>
      <xdr:xfrm>
        <a:off x="7753320" y="3305160"/>
        <a:ext cx="48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8.83203125" defaultRowHeight="12.7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7"/>
    <col collapsed="false" customWidth="true" hidden="false" outlineLevel="0" max="3" min="3" style="0" width="20"/>
    <col collapsed="false" customWidth="true" hidden="false" outlineLevel="0" max="5" min="4" style="0" width="17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10" min="10" style="0" width="17"/>
    <col collapsed="false" customWidth="true" hidden="false" outlineLevel="0" max="14" min="14" style="0" width="24"/>
    <col collapsed="false" customWidth="true" hidden="false" outlineLevel="0" max="15" min="15" style="0" width="22"/>
  </cols>
  <sheetData>
    <row r="1" customFormat="false" ht="34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2"/>
      <c r="O1" s="2"/>
    </row>
    <row r="2" customFormat="false" ht="34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/>
    </row>
    <row r="3" customFormat="false" ht="15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34.5" hidden="false" customHeight="true" outlineLevel="0" collapsed="false">
      <c r="A4" s="4" t="s">
        <v>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5"/>
      <c r="N4" s="5"/>
      <c r="O4" s="5"/>
    </row>
    <row r="5" customFormat="false" ht="15.7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customFormat="false" ht="36.75" hidden="false" customHeight="true" outlineLevel="0" collapsed="false">
      <c r="A6" s="6" t="s">
        <v>2</v>
      </c>
      <c r="B6" s="7"/>
      <c r="C6" s="7"/>
      <c r="D6" s="6" t="s">
        <v>3</v>
      </c>
      <c r="E6" s="7"/>
      <c r="F6" s="7"/>
      <c r="G6" s="6" t="s">
        <v>4</v>
      </c>
      <c r="H6" s="7"/>
      <c r="I6" s="7"/>
      <c r="J6" s="6" t="s">
        <v>5</v>
      </c>
      <c r="K6" s="7"/>
      <c r="L6" s="7"/>
      <c r="M6" s="3"/>
      <c r="N6" s="3"/>
      <c r="O6" s="3"/>
    </row>
    <row r="7" customFormat="false" ht="57" hidden="false" customHeight="true" outlineLevel="0" collapsed="false">
      <c r="A7" s="8" t="n">
        <f aca="false">COUNTIF('Inventory Data'!M5:M16,"REORDER")</f>
        <v>8</v>
      </c>
      <c r="B7" s="9"/>
      <c r="C7" s="9"/>
      <c r="D7" s="8" t="n">
        <f aca="false">COUNTIF('Inventory Data'!N5:N16,"AT RISK")</f>
        <v>1</v>
      </c>
      <c r="E7" s="9"/>
      <c r="F7" s="9"/>
      <c r="G7" s="10" t="n">
        <f aca="false">SUM('Inventory Data'!Q5:Q16)</f>
        <v>610.3</v>
      </c>
      <c r="H7" s="9"/>
      <c r="I7" s="9"/>
      <c r="J7" s="10" t="n">
        <f aca="false">SUM('Inventory Data'!R5:R16)</f>
        <v>1396.05</v>
      </c>
      <c r="K7" s="9"/>
      <c r="L7" s="9"/>
      <c r="M7" s="3"/>
      <c r="N7" s="3"/>
      <c r="O7" s="3"/>
    </row>
    <row r="8" customFormat="false" ht="15.75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3"/>
      <c r="N8" s="3"/>
      <c r="O8" s="3"/>
    </row>
    <row r="9" customFormat="false" ht="15.75" hidden="false" customHeight="tru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customFormat="false" ht="36.75" hidden="false" customHeight="true" outlineLevel="0" collapsed="false">
      <c r="A10" s="11" t="s">
        <v>6</v>
      </c>
      <c r="B10" s="11"/>
      <c r="C10" s="11"/>
      <c r="D10" s="11"/>
      <c r="E10" s="11"/>
      <c r="F10" s="11"/>
      <c r="G10" s="2"/>
      <c r="H10" s="2"/>
      <c r="I10" s="2"/>
      <c r="J10" s="2"/>
      <c r="K10" s="2"/>
      <c r="L10" s="2"/>
      <c r="M10" s="3"/>
      <c r="N10" s="3"/>
      <c r="O10" s="3"/>
    </row>
    <row r="11" customFormat="false" ht="39.75" hidden="false" customHeight="true" outlineLevel="0" collapsed="false">
      <c r="A11" s="12" t="s">
        <v>7</v>
      </c>
      <c r="B11" s="12" t="s">
        <v>8</v>
      </c>
      <c r="C11" s="12" t="s">
        <v>9</v>
      </c>
      <c r="D11" s="12" t="s">
        <v>10</v>
      </c>
      <c r="E11" s="12" t="s">
        <v>11</v>
      </c>
      <c r="F11" s="12" t="s">
        <v>12</v>
      </c>
      <c r="G11" s="3"/>
      <c r="H11" s="3"/>
      <c r="I11" s="3"/>
      <c r="J11" s="3"/>
      <c r="K11" s="3"/>
      <c r="L11" s="3"/>
      <c r="M11" s="3"/>
      <c r="N11" s="12" t="s">
        <v>13</v>
      </c>
      <c r="O11" s="12" t="s">
        <v>14</v>
      </c>
    </row>
    <row r="12" customFormat="false" ht="15.75" hidden="false" customHeight="true" outlineLevel="0" collapsed="false">
      <c r="A12" s="13" t="str">
        <f aca="false">'Inventory Data'!A5</f>
        <v>Chicken breast</v>
      </c>
      <c r="B12" s="14" t="n">
        <f aca="false">'Inventory Data'!D5</f>
        <v>42</v>
      </c>
      <c r="C12" s="15" t="n">
        <f aca="false">'Inventory Data'!K5</f>
        <v>57</v>
      </c>
      <c r="D12" s="16" t="n">
        <f aca="false">'Inventory Data'!L5</f>
        <v>2.8</v>
      </c>
      <c r="E12" s="13" t="str">
        <f aca="false">'Inventory Data'!M5</f>
        <v>REORDER</v>
      </c>
      <c r="F12" s="13" t="str">
        <f aca="false">'Inventory Data'!N5</f>
        <v>OK</v>
      </c>
      <c r="G12" s="3"/>
      <c r="H12" s="3"/>
      <c r="I12" s="3"/>
      <c r="J12" s="3"/>
      <c r="K12" s="3"/>
      <c r="L12" s="3"/>
      <c r="M12" s="3"/>
      <c r="N12" s="3" t="str">
        <f aca="false">INDEX('Inventory Data'!$A$5:$A$16,MATCH(1,'Inventory Data'!$T$5:$T$16,0))</f>
        <v>Avocados</v>
      </c>
      <c r="O12" s="17" t="n">
        <f aca="false">INDEX('Inventory Data'!$L$5:$L$16,MATCH(1,'Inventory Data'!$T$5:$T$16,0))</f>
        <v>1.94444444444444</v>
      </c>
    </row>
    <row r="13" customFormat="false" ht="15.75" hidden="false" customHeight="true" outlineLevel="0" collapsed="false">
      <c r="A13" s="18" t="str">
        <f aca="false">'Inventory Data'!A6</f>
        <v>Avocados</v>
      </c>
      <c r="B13" s="19" t="n">
        <f aca="false">'Inventory Data'!D6</f>
        <v>35</v>
      </c>
      <c r="C13" s="20" t="n">
        <f aca="false">'Inventory Data'!K6</f>
        <v>48</v>
      </c>
      <c r="D13" s="21" t="n">
        <f aca="false">'Inventory Data'!L6</f>
        <v>1.94444444444444</v>
      </c>
      <c r="E13" s="18" t="str">
        <f aca="false">'Inventory Data'!M6</f>
        <v>REORDER</v>
      </c>
      <c r="F13" s="18" t="str">
        <f aca="false">'Inventory Data'!N6</f>
        <v>OK</v>
      </c>
      <c r="G13" s="3"/>
      <c r="H13" s="3"/>
      <c r="I13" s="3"/>
      <c r="J13" s="3"/>
      <c r="K13" s="3"/>
      <c r="L13" s="3"/>
      <c r="M13" s="3"/>
      <c r="N13" s="3" t="str">
        <f aca="false">INDEX('Inventory Data'!$A$5:$A$16,MATCH(2,'Inventory Data'!$T$5:$T$16,0))</f>
        <v>Spinach</v>
      </c>
      <c r="O13" s="17" t="n">
        <f aca="false">INDEX('Inventory Data'!$L$5:$L$16,MATCH(2,'Inventory Data'!$T$5:$T$16,0))</f>
        <v>2.6</v>
      </c>
    </row>
    <row r="14" customFormat="false" ht="15.75" hidden="false" customHeight="true" outlineLevel="0" collapsed="false">
      <c r="A14" s="13" t="str">
        <f aca="false">'Inventory Data'!A7</f>
        <v>Romaine lettuce</v>
      </c>
      <c r="B14" s="14" t="n">
        <f aca="false">'Inventory Data'!D7</f>
        <v>43</v>
      </c>
      <c r="C14" s="15" t="n">
        <f aca="false">'Inventory Data'!K7</f>
        <v>25</v>
      </c>
      <c r="D14" s="16" t="n">
        <f aca="false">'Inventory Data'!L7</f>
        <v>4.77777777777778</v>
      </c>
      <c r="E14" s="13" t="str">
        <f aca="false">'Inventory Data'!M7</f>
        <v>OK</v>
      </c>
      <c r="F14" s="13" t="str">
        <f aca="false">'Inventory Data'!N7</f>
        <v>OK</v>
      </c>
      <c r="G14" s="3"/>
      <c r="H14" s="3"/>
      <c r="I14" s="3"/>
      <c r="J14" s="3"/>
      <c r="K14" s="3"/>
      <c r="L14" s="3"/>
      <c r="M14" s="3"/>
      <c r="N14" s="3" t="str">
        <f aca="false">INDEX('Inventory Data'!$A$5:$A$16,MATCH(3,'Inventory Data'!$T$5:$T$16,0))</f>
        <v>Chicken breast</v>
      </c>
      <c r="O14" s="17" t="n">
        <f aca="false">INDEX('Inventory Data'!$L$5:$L$16,MATCH(3,'Inventory Data'!$T$5:$T$16,0))</f>
        <v>2.8</v>
      </c>
    </row>
    <row r="15" customFormat="false" ht="15.75" hidden="false" customHeight="true" outlineLevel="0" collapsed="false">
      <c r="A15" s="18" t="str">
        <f aca="false">'Inventory Data'!A8</f>
        <v>Tomatoes</v>
      </c>
      <c r="B15" s="19" t="n">
        <f aca="false">'Inventory Data'!D8</f>
        <v>24</v>
      </c>
      <c r="C15" s="20" t="n">
        <f aca="false">'Inventory Data'!K8</f>
        <v>27</v>
      </c>
      <c r="D15" s="21" t="n">
        <f aca="false">'Inventory Data'!L8</f>
        <v>3.42857142857143</v>
      </c>
      <c r="E15" s="18" t="str">
        <f aca="false">'Inventory Data'!M8</f>
        <v>REORDER</v>
      </c>
      <c r="F15" s="18" t="str">
        <f aca="false">'Inventory Data'!N8</f>
        <v>OK</v>
      </c>
      <c r="G15" s="3"/>
      <c r="H15" s="3"/>
      <c r="I15" s="3"/>
      <c r="J15" s="3"/>
      <c r="K15" s="3"/>
      <c r="L15" s="3"/>
      <c r="M15" s="3"/>
      <c r="N15" s="3" t="str">
        <f aca="false">INDEX('Inventory Data'!$A$5:$A$16,MATCH(4,'Inventory Data'!$T$5:$T$16,0))</f>
        <v>Tortillas</v>
      </c>
      <c r="O15" s="17" t="n">
        <f aca="false">INDEX('Inventory Data'!$L$5:$L$16,MATCH(4,'Inventory Data'!$T$5:$T$16,0))</f>
        <v>3.08823529411765</v>
      </c>
    </row>
    <row r="16" customFormat="false" ht="15.75" hidden="false" customHeight="true" outlineLevel="0" collapsed="false">
      <c r="A16" s="13" t="str">
        <f aca="false">'Inventory Data'!A9</f>
        <v>Brown rice</v>
      </c>
      <c r="B16" s="14" t="n">
        <f aca="false">'Inventory Data'!D9</f>
        <v>40</v>
      </c>
      <c r="C16" s="15" t="n">
        <f aca="false">'Inventory Data'!K9</f>
        <v>72</v>
      </c>
      <c r="D16" s="16" t="n">
        <f aca="false">'Inventory Data'!L9</f>
        <v>3.33333333333333</v>
      </c>
      <c r="E16" s="13" t="str">
        <f aca="false">'Inventory Data'!M9</f>
        <v>REORDER</v>
      </c>
      <c r="F16" s="13" t="str">
        <f aca="false">'Inventory Data'!N9</f>
        <v>OK</v>
      </c>
      <c r="G16" s="3"/>
      <c r="H16" s="3"/>
      <c r="I16" s="3"/>
      <c r="J16" s="3"/>
      <c r="K16" s="3"/>
      <c r="L16" s="3"/>
      <c r="M16" s="3"/>
      <c r="N16" s="3" t="str">
        <f aca="false">INDEX('Inventory Data'!$A$5:$A$16,MATCH(5,'Inventory Data'!$T$5:$T$16,0))</f>
        <v>Feta cheese</v>
      </c>
      <c r="O16" s="17" t="n">
        <f aca="false">INDEX('Inventory Data'!$L$5:$L$16,MATCH(5,'Inventory Data'!$T$5:$T$16,0))</f>
        <v>3.2</v>
      </c>
    </row>
    <row r="17" customFormat="false" ht="15.75" hidden="false" customHeight="true" outlineLevel="0" collapsed="false">
      <c r="A17" s="18" t="str">
        <f aca="false">'Inventory Data'!A10</f>
        <v>Tortillas</v>
      </c>
      <c r="B17" s="19" t="n">
        <f aca="false">'Inventory Data'!D10</f>
        <v>105</v>
      </c>
      <c r="C17" s="20" t="n">
        <f aca="false">'Inventory Data'!K10</f>
        <v>163</v>
      </c>
      <c r="D17" s="21" t="n">
        <f aca="false">'Inventory Data'!L10</f>
        <v>3.08823529411765</v>
      </c>
      <c r="E17" s="18" t="str">
        <f aca="false">'Inventory Data'!M10</f>
        <v>REORDER</v>
      </c>
      <c r="F17" s="18" t="str">
        <f aca="false">'Inventory Data'!N10</f>
        <v>OK</v>
      </c>
      <c r="G17" s="3"/>
      <c r="H17" s="3"/>
      <c r="I17" s="3"/>
      <c r="J17" s="3"/>
      <c r="K17" s="3"/>
      <c r="L17" s="3"/>
      <c r="M17" s="3"/>
      <c r="N17" s="3"/>
      <c r="O17" s="3"/>
    </row>
    <row r="18" customFormat="false" ht="15.75" hidden="false" customHeight="true" outlineLevel="0" collapsed="false">
      <c r="A18" s="13" t="str">
        <f aca="false">'Inventory Data'!A11</f>
        <v>Black beans</v>
      </c>
      <c r="B18" s="14" t="n">
        <f aca="false">'Inventory Data'!D11</f>
        <v>235</v>
      </c>
      <c r="C18" s="15" t="n">
        <f aca="false">'Inventory Data'!K11</f>
        <v>62</v>
      </c>
      <c r="D18" s="16" t="n">
        <f aca="false">'Inventory Data'!L11</f>
        <v>23.5</v>
      </c>
      <c r="E18" s="13" t="str">
        <f aca="false">'Inventory Data'!M11</f>
        <v>OK</v>
      </c>
      <c r="F18" s="13" t="str">
        <f aca="false">'Inventory Data'!N11</f>
        <v>OK</v>
      </c>
      <c r="G18" s="3"/>
      <c r="H18" s="3"/>
      <c r="I18" s="3"/>
      <c r="J18" s="3"/>
      <c r="K18" s="3"/>
      <c r="L18" s="3"/>
      <c r="M18" s="3"/>
      <c r="N18" s="3"/>
      <c r="O18" s="3"/>
    </row>
    <row r="19" customFormat="false" ht="15.75" hidden="false" customHeight="true" outlineLevel="0" collapsed="false">
      <c r="A19" s="18" t="str">
        <f aca="false">'Inventory Data'!A12</f>
        <v>Cucumbers</v>
      </c>
      <c r="B19" s="19" t="n">
        <f aca="false">'Inventory Data'!D12</f>
        <v>88</v>
      </c>
      <c r="C19" s="20" t="n">
        <f aca="false">'Inventory Data'!K12</f>
        <v>17</v>
      </c>
      <c r="D19" s="21" t="n">
        <f aca="false">'Inventory Data'!L12</f>
        <v>14.6666666666667</v>
      </c>
      <c r="E19" s="18" t="str">
        <f aca="false">'Inventory Data'!M12</f>
        <v>OK</v>
      </c>
      <c r="F19" s="18" t="str">
        <f aca="false">'Inventory Data'!N12</f>
        <v>AT RISK</v>
      </c>
      <c r="G19" s="3"/>
      <c r="H19" s="3"/>
      <c r="I19" s="3"/>
      <c r="J19" s="3"/>
      <c r="K19" s="3"/>
      <c r="L19" s="3"/>
      <c r="M19" s="3"/>
      <c r="N19" s="3"/>
      <c r="O19" s="3"/>
    </row>
    <row r="20" customFormat="false" ht="15.75" hidden="false" customHeight="true" outlineLevel="0" collapsed="false">
      <c r="A20" s="13" t="str">
        <f aca="false">'Inventory Data'!A13</f>
        <v>Feta cheese</v>
      </c>
      <c r="B20" s="14" t="n">
        <f aca="false">'Inventory Data'!D13</f>
        <v>16</v>
      </c>
      <c r="C20" s="15" t="n">
        <f aca="false">'Inventory Data'!K13</f>
        <v>25</v>
      </c>
      <c r="D20" s="16" t="n">
        <f aca="false">'Inventory Data'!L13</f>
        <v>3.2</v>
      </c>
      <c r="E20" s="13" t="str">
        <f aca="false">'Inventory Data'!M13</f>
        <v>REORDER</v>
      </c>
      <c r="F20" s="13" t="str">
        <f aca="false">'Inventory Data'!N13</f>
        <v>OK</v>
      </c>
      <c r="G20" s="3"/>
      <c r="H20" s="3"/>
      <c r="I20" s="3"/>
      <c r="J20" s="3"/>
      <c r="K20" s="3"/>
      <c r="L20" s="3"/>
      <c r="M20" s="3"/>
      <c r="N20" s="3"/>
      <c r="O20" s="3"/>
    </row>
    <row r="21" customFormat="false" ht="15.75" hidden="false" customHeight="true" outlineLevel="0" collapsed="false">
      <c r="A21" s="18" t="str">
        <f aca="false">'Inventory Data'!A14</f>
        <v>Spinach</v>
      </c>
      <c r="B21" s="19" t="n">
        <f aca="false">'Inventory Data'!D14</f>
        <v>13</v>
      </c>
      <c r="C21" s="20" t="n">
        <f aca="false">'Inventory Data'!K14</f>
        <v>15</v>
      </c>
      <c r="D21" s="21" t="n">
        <f aca="false">'Inventory Data'!L14</f>
        <v>2.6</v>
      </c>
      <c r="E21" s="18" t="str">
        <f aca="false">'Inventory Data'!M14</f>
        <v>REORDER</v>
      </c>
      <c r="F21" s="18" t="str">
        <f aca="false">'Inventory Data'!N14</f>
        <v>OK</v>
      </c>
      <c r="G21" s="3"/>
      <c r="H21" s="3"/>
      <c r="I21" s="3"/>
      <c r="J21" s="3"/>
      <c r="K21" s="3"/>
      <c r="L21" s="3"/>
      <c r="M21" s="3"/>
      <c r="N21" s="3"/>
      <c r="O21" s="3"/>
    </row>
    <row r="22" customFormat="false" ht="15.75" hidden="false" customHeight="true" outlineLevel="0" collapsed="false">
      <c r="A22" s="13" t="str">
        <f aca="false">'Inventory Data'!A15</f>
        <v>Olive oil</v>
      </c>
      <c r="B22" s="14" t="n">
        <f aca="false">'Inventory Data'!D15</f>
        <v>25</v>
      </c>
      <c r="C22" s="15" t="n">
        <f aca="false">'Inventory Data'!K15</f>
        <v>17</v>
      </c>
      <c r="D22" s="16" t="n">
        <f aca="false">'Inventory Data'!L15</f>
        <v>12.5</v>
      </c>
      <c r="E22" s="13" t="str">
        <f aca="false">'Inventory Data'!M15</f>
        <v>OK</v>
      </c>
      <c r="F22" s="13" t="str">
        <f aca="false">'Inventory Data'!N15</f>
        <v>OK</v>
      </c>
      <c r="G22" s="3"/>
      <c r="H22" s="3"/>
      <c r="I22" s="3"/>
      <c r="J22" s="3"/>
      <c r="K22" s="3"/>
      <c r="L22" s="3"/>
      <c r="M22" s="3"/>
      <c r="N22" s="3"/>
      <c r="O22" s="3"/>
    </row>
    <row r="23" customFormat="false" ht="15.75" hidden="false" customHeight="true" outlineLevel="0" collapsed="false">
      <c r="A23" s="18" t="str">
        <f aca="false">'Inventory Data'!A16</f>
        <v>Lemons</v>
      </c>
      <c r="B23" s="19" t="n">
        <f aca="false">'Inventory Data'!D16</f>
        <v>38</v>
      </c>
      <c r="C23" s="20" t="n">
        <f aca="false">'Inventory Data'!K16</f>
        <v>42</v>
      </c>
      <c r="D23" s="21" t="n">
        <f aca="false">'Inventory Data'!L16</f>
        <v>3.45454545454545</v>
      </c>
      <c r="E23" s="18" t="str">
        <f aca="false">'Inventory Data'!M16</f>
        <v>REORDER</v>
      </c>
      <c r="F23" s="18" t="str">
        <f aca="false">'Inventory Data'!N16</f>
        <v>OK</v>
      </c>
      <c r="G23" s="3"/>
      <c r="H23" s="3"/>
      <c r="I23" s="3"/>
      <c r="J23" s="3"/>
      <c r="K23" s="3"/>
      <c r="L23" s="3"/>
      <c r="M23" s="3"/>
      <c r="N23" s="3"/>
      <c r="O23" s="3"/>
    </row>
    <row r="24" customFormat="false" ht="15.7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customFormat="false" ht="15.7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customFormat="false" ht="15.7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customFormat="false" ht="15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customFormat="false" ht="34.5" hidden="false" customHeight="true" outlineLevel="0" collapsed="false">
      <c r="A30" s="22" t="s">
        <v>15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18"/>
      <c r="N30" s="18"/>
      <c r="O30" s="18"/>
    </row>
    <row r="31" customFormat="false" ht="34.5" hidden="false" customHeight="true" outlineLevel="0" collapsed="false">
      <c r="A31" s="22" t="s">
        <v>16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18"/>
      <c r="N31" s="18"/>
      <c r="O31" s="18"/>
    </row>
    <row r="32" customFormat="false" ht="34.5" hidden="false" customHeight="true" outlineLevel="0" collapsed="false">
      <c r="A32" s="22" t="s">
        <v>17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18"/>
      <c r="N32" s="18"/>
      <c r="O32" s="18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</sheetData>
  <mergeCells count="6">
    <mergeCell ref="A1:L2"/>
    <mergeCell ref="A4:L4"/>
    <mergeCell ref="A10:F10"/>
    <mergeCell ref="A30:L30"/>
    <mergeCell ref="A31:L31"/>
    <mergeCell ref="A32:L32"/>
  </mergeCells>
  <conditionalFormatting sqref="E12:E23">
    <cfRule type="expression" priority="2" aboveAverage="0" equalAverage="0" bottom="0" percent="0" rank="0" text="" dxfId="0">
      <formula>E12="REORDER"</formula>
    </cfRule>
  </conditionalFormatting>
  <conditionalFormatting sqref="F12:F23">
    <cfRule type="expression" priority="3" aboveAverage="0" equalAverage="0" bottom="0" percent="0" rank="0" text="" dxfId="0">
      <formula>F12="AT RISK"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2.7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8" min="7" style="0" width="13"/>
    <col collapsed="false" customWidth="true" hidden="false" outlineLevel="0" max="12" min="9" style="0" width="12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7" min="16" style="0" width="13"/>
    <col collapsed="false" customWidth="true" hidden="false" outlineLevel="0" max="19" min="18" style="0" width="14"/>
    <col collapsed="false" customWidth="true" hidden="false" outlineLevel="0" max="20" min="20" style="0" width="10"/>
  </cols>
  <sheetData>
    <row r="1" customFormat="false" ht="36" hidden="false" customHeight="true" outlineLevel="0" collapsed="false">
      <c r="A1" s="23" t="s">
        <v>18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</row>
    <row r="2" customFormat="false" ht="27.75" hidden="false" customHeight="true" outlineLevel="0" collapsed="false">
      <c r="A2" s="24" t="s">
        <v>19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</row>
    <row r="3" customFormat="false" ht="15" hidden="false" customHeight="true" outlineLevel="0" collapsed="false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customFormat="false" ht="36" hidden="false" customHeight="true" outlineLevel="0" collapsed="false">
      <c r="A4" s="26" t="s">
        <v>7</v>
      </c>
      <c r="B4" s="26" t="s">
        <v>20</v>
      </c>
      <c r="C4" s="26" t="s">
        <v>21</v>
      </c>
      <c r="D4" s="26" t="s">
        <v>8</v>
      </c>
      <c r="E4" s="26" t="s">
        <v>22</v>
      </c>
      <c r="F4" s="26" t="s">
        <v>23</v>
      </c>
      <c r="G4" s="26" t="s">
        <v>24</v>
      </c>
      <c r="H4" s="26" t="s">
        <v>25</v>
      </c>
      <c r="I4" s="26" t="s">
        <v>26</v>
      </c>
      <c r="J4" s="26" t="s">
        <v>27</v>
      </c>
      <c r="K4" s="26" t="s">
        <v>9</v>
      </c>
      <c r="L4" s="26" t="s">
        <v>14</v>
      </c>
      <c r="M4" s="26" t="s">
        <v>28</v>
      </c>
      <c r="N4" s="26" t="s">
        <v>29</v>
      </c>
      <c r="O4" s="26" t="s">
        <v>30</v>
      </c>
      <c r="P4" s="26" t="s">
        <v>31</v>
      </c>
      <c r="Q4" s="26" t="s">
        <v>32</v>
      </c>
      <c r="R4" s="26" t="s">
        <v>33</v>
      </c>
      <c r="S4" s="26" t="s">
        <v>34</v>
      </c>
      <c r="T4" s="26" t="s">
        <v>35</v>
      </c>
    </row>
    <row r="5" customFormat="false" ht="24.75" hidden="false" customHeight="true" outlineLevel="0" collapsed="false">
      <c r="A5" s="27" t="s">
        <v>36</v>
      </c>
      <c r="B5" s="27" t="s">
        <v>37</v>
      </c>
      <c r="C5" s="27" t="s">
        <v>38</v>
      </c>
      <c r="D5" s="28" t="n">
        <v>42</v>
      </c>
      <c r="E5" s="28" t="n">
        <v>15</v>
      </c>
      <c r="F5" s="28" t="n">
        <v>4</v>
      </c>
      <c r="G5" s="28" t="n">
        <v>3</v>
      </c>
      <c r="H5" s="28" t="n">
        <v>4</v>
      </c>
      <c r="I5" s="29" t="n">
        <v>5.25</v>
      </c>
      <c r="J5" s="30" t="n">
        <f aca="false">ROUNDUP($B$20*F5*SQRT(G5),0)</f>
        <v>12</v>
      </c>
      <c r="K5" s="30" t="n">
        <f aca="false">E5*G5+J5</f>
        <v>57</v>
      </c>
      <c r="L5" s="31" t="n">
        <f aca="false">IF(E5=0,0,D5/E5)</f>
        <v>2.8</v>
      </c>
      <c r="M5" s="32" t="str">
        <f aca="false">IF(D5&lt;=K5,"REORDER","OK")</f>
        <v>REORDER</v>
      </c>
      <c r="N5" s="32" t="str">
        <f aca="false">IF(L5&gt;H5,"AT RISK","OK")</f>
        <v>OK</v>
      </c>
      <c r="O5" s="30" t="n">
        <f aca="false">MAX(0,D5-E5*H5)</f>
        <v>0</v>
      </c>
      <c r="P5" s="30" t="n">
        <f aca="false">IF(D5&lt;=K5,MAX(0,MIN(K5+E5*3,E5*H5)-D5),0)</f>
        <v>18</v>
      </c>
      <c r="Q5" s="33" t="n">
        <f aca="false">P5*I5</f>
        <v>94.5</v>
      </c>
      <c r="R5" s="33" t="n">
        <f aca="false">D5*I5</f>
        <v>220.5</v>
      </c>
      <c r="S5" s="33" t="n">
        <f aca="false">O5*I5</f>
        <v>0</v>
      </c>
      <c r="T5" s="30" t="n">
        <f aca="false">RANK(L5,$L$5:$L$16,1)+COUNTIF($L$5:L5,L5)-1</f>
        <v>3</v>
      </c>
    </row>
    <row r="6" customFormat="false" ht="24.75" hidden="false" customHeight="true" outlineLevel="0" collapsed="false">
      <c r="A6" s="34" t="s">
        <v>39</v>
      </c>
      <c r="B6" s="34" t="s">
        <v>40</v>
      </c>
      <c r="C6" s="34" t="s">
        <v>41</v>
      </c>
      <c r="D6" s="28" t="n">
        <v>35</v>
      </c>
      <c r="E6" s="28" t="n">
        <v>18</v>
      </c>
      <c r="F6" s="28" t="n">
        <v>5</v>
      </c>
      <c r="G6" s="28" t="n">
        <v>2</v>
      </c>
      <c r="H6" s="28" t="n">
        <v>5</v>
      </c>
      <c r="I6" s="29" t="n">
        <v>1.35</v>
      </c>
      <c r="J6" s="35" t="n">
        <f aca="false">ROUNDUP($B$20*F6*SQRT(G6),0)</f>
        <v>12</v>
      </c>
      <c r="K6" s="35" t="n">
        <f aca="false">E6*G6+J6</f>
        <v>48</v>
      </c>
      <c r="L6" s="36" t="n">
        <f aca="false">IF(E6=0,0,D6/E6)</f>
        <v>1.94444444444444</v>
      </c>
      <c r="M6" s="37" t="str">
        <f aca="false">IF(D6&lt;=K6,"REORDER","OK")</f>
        <v>REORDER</v>
      </c>
      <c r="N6" s="37" t="str">
        <f aca="false">IF(L6&gt;H6,"AT RISK","OK")</f>
        <v>OK</v>
      </c>
      <c r="O6" s="35" t="n">
        <f aca="false">MAX(0,D6-E6*H6)</f>
        <v>0</v>
      </c>
      <c r="P6" s="35" t="n">
        <f aca="false">IF(D6&lt;=K6,MAX(0,MIN(K6+E6*3,E6*H6)-D6),0)</f>
        <v>55</v>
      </c>
      <c r="Q6" s="38" t="n">
        <f aca="false">P6*I6</f>
        <v>74.25</v>
      </c>
      <c r="R6" s="38" t="n">
        <f aca="false">D6*I6</f>
        <v>47.25</v>
      </c>
      <c r="S6" s="38" t="n">
        <f aca="false">O6*I6</f>
        <v>0</v>
      </c>
      <c r="T6" s="35" t="n">
        <f aca="false">RANK(L6,$L$5:$L$16,1)+COUNTIF($L$5:L6,L6)-1</f>
        <v>1</v>
      </c>
    </row>
    <row r="7" customFormat="false" ht="24.75" hidden="false" customHeight="true" outlineLevel="0" collapsed="false">
      <c r="A7" s="27" t="s">
        <v>42</v>
      </c>
      <c r="B7" s="27" t="s">
        <v>40</v>
      </c>
      <c r="C7" s="27" t="s">
        <v>43</v>
      </c>
      <c r="D7" s="28" t="n">
        <v>43</v>
      </c>
      <c r="E7" s="28" t="n">
        <v>9</v>
      </c>
      <c r="F7" s="28" t="n">
        <v>3</v>
      </c>
      <c r="G7" s="28" t="n">
        <v>2</v>
      </c>
      <c r="H7" s="28" t="n">
        <v>7</v>
      </c>
      <c r="I7" s="29" t="n">
        <v>2.1</v>
      </c>
      <c r="J7" s="30" t="n">
        <f aca="false">ROUNDUP($B$20*F7*SQRT(G7),0)</f>
        <v>7</v>
      </c>
      <c r="K7" s="30" t="n">
        <f aca="false">E7*G7+J7</f>
        <v>25</v>
      </c>
      <c r="L7" s="31" t="n">
        <f aca="false">IF(E7=0,0,D7/E7)</f>
        <v>4.77777777777778</v>
      </c>
      <c r="M7" s="32" t="str">
        <f aca="false">IF(D7&lt;=K7,"REORDER","OK")</f>
        <v>OK</v>
      </c>
      <c r="N7" s="32" t="str">
        <f aca="false">IF(L7&gt;H7,"AT RISK","OK")</f>
        <v>OK</v>
      </c>
      <c r="O7" s="30" t="n">
        <f aca="false">MAX(0,D7-E7*H7)</f>
        <v>0</v>
      </c>
      <c r="P7" s="30" t="n">
        <f aca="false">IF(D7&lt;=K7,MAX(0,MIN(K7+E7*3,E7*H7)-D7),0)</f>
        <v>0</v>
      </c>
      <c r="Q7" s="33" t="n">
        <f aca="false">P7*I7</f>
        <v>0</v>
      </c>
      <c r="R7" s="33" t="n">
        <f aca="false">D7*I7</f>
        <v>90.3</v>
      </c>
      <c r="S7" s="33" t="n">
        <f aca="false">O7*I7</f>
        <v>0</v>
      </c>
      <c r="T7" s="30" t="n">
        <f aca="false">RANK(L7,$L$5:$L$16,1)+COUNTIF($L$5:L7,L7)-1</f>
        <v>9</v>
      </c>
    </row>
    <row r="8" customFormat="false" ht="24.75" hidden="false" customHeight="true" outlineLevel="0" collapsed="false">
      <c r="A8" s="34" t="s">
        <v>44</v>
      </c>
      <c r="B8" s="34" t="s">
        <v>40</v>
      </c>
      <c r="C8" s="34" t="s">
        <v>38</v>
      </c>
      <c r="D8" s="28" t="n">
        <v>24</v>
      </c>
      <c r="E8" s="28" t="n">
        <v>7</v>
      </c>
      <c r="F8" s="28" t="n">
        <v>2</v>
      </c>
      <c r="G8" s="28" t="n">
        <v>3</v>
      </c>
      <c r="H8" s="28" t="n">
        <v>6</v>
      </c>
      <c r="I8" s="29" t="n">
        <v>2.45</v>
      </c>
      <c r="J8" s="35" t="n">
        <f aca="false">ROUNDUP($B$20*F8*SQRT(G8),0)</f>
        <v>6</v>
      </c>
      <c r="K8" s="35" t="n">
        <f aca="false">E8*G8+J8</f>
        <v>27</v>
      </c>
      <c r="L8" s="36" t="n">
        <f aca="false">IF(E8=0,0,D8/E8)</f>
        <v>3.42857142857143</v>
      </c>
      <c r="M8" s="37" t="str">
        <f aca="false">IF(D8&lt;=K8,"REORDER","OK")</f>
        <v>REORDER</v>
      </c>
      <c r="N8" s="37" t="str">
        <f aca="false">IF(L8&gt;H8,"AT RISK","OK")</f>
        <v>OK</v>
      </c>
      <c r="O8" s="35" t="n">
        <f aca="false">MAX(0,D8-E8*H8)</f>
        <v>0</v>
      </c>
      <c r="P8" s="35" t="n">
        <f aca="false">IF(D8&lt;=K8,MAX(0,MIN(K8+E8*3,E8*H8)-D8),0)</f>
        <v>18</v>
      </c>
      <c r="Q8" s="38" t="n">
        <f aca="false">P8*I8</f>
        <v>44.1</v>
      </c>
      <c r="R8" s="38" t="n">
        <f aca="false">D8*I8</f>
        <v>58.8</v>
      </c>
      <c r="S8" s="38" t="n">
        <f aca="false">O8*I8</f>
        <v>0</v>
      </c>
      <c r="T8" s="35" t="n">
        <f aca="false">RANK(L8,$L$5:$L$16,1)+COUNTIF($L$5:L8,L8)-1</f>
        <v>7</v>
      </c>
    </row>
    <row r="9" customFormat="false" ht="24.75" hidden="false" customHeight="true" outlineLevel="0" collapsed="false">
      <c r="A9" s="27" t="s">
        <v>45</v>
      </c>
      <c r="B9" s="27" t="s">
        <v>46</v>
      </c>
      <c r="C9" s="27" t="s">
        <v>38</v>
      </c>
      <c r="D9" s="28" t="n">
        <v>40</v>
      </c>
      <c r="E9" s="28" t="n">
        <v>12</v>
      </c>
      <c r="F9" s="28" t="n">
        <v>3</v>
      </c>
      <c r="G9" s="28" t="n">
        <v>5</v>
      </c>
      <c r="H9" s="28" t="n">
        <v>180</v>
      </c>
      <c r="I9" s="29" t="n">
        <v>1.95</v>
      </c>
      <c r="J9" s="30" t="n">
        <f aca="false">ROUNDUP($B$20*F9*SQRT(G9),0)</f>
        <v>12</v>
      </c>
      <c r="K9" s="30" t="n">
        <f aca="false">E9*G9+J9</f>
        <v>72</v>
      </c>
      <c r="L9" s="31" t="n">
        <f aca="false">IF(E9=0,0,D9/E9)</f>
        <v>3.33333333333333</v>
      </c>
      <c r="M9" s="32" t="str">
        <f aca="false">IF(D9&lt;=K9,"REORDER","OK")</f>
        <v>REORDER</v>
      </c>
      <c r="N9" s="32" t="str">
        <f aca="false">IF(L9&gt;H9,"AT RISK","OK")</f>
        <v>OK</v>
      </c>
      <c r="O9" s="30" t="n">
        <f aca="false">MAX(0,D9-E9*H9)</f>
        <v>0</v>
      </c>
      <c r="P9" s="30" t="n">
        <f aca="false">IF(D9&lt;=K9,MAX(0,MIN(K9+E9*3,E9*H9)-D9),0)</f>
        <v>68</v>
      </c>
      <c r="Q9" s="33" t="n">
        <f aca="false">P9*I9</f>
        <v>132.6</v>
      </c>
      <c r="R9" s="33" t="n">
        <f aca="false">D9*I9</f>
        <v>78</v>
      </c>
      <c r="S9" s="33" t="n">
        <f aca="false">O9*I9</f>
        <v>0</v>
      </c>
      <c r="T9" s="30" t="n">
        <f aca="false">RANK(L9,$L$5:$L$16,1)+COUNTIF($L$5:L9,L9)-1</f>
        <v>6</v>
      </c>
    </row>
    <row r="10" customFormat="false" ht="24.75" hidden="false" customHeight="true" outlineLevel="0" collapsed="false">
      <c r="A10" s="34" t="s">
        <v>47</v>
      </c>
      <c r="B10" s="34" t="s">
        <v>46</v>
      </c>
      <c r="C10" s="34" t="s">
        <v>41</v>
      </c>
      <c r="D10" s="28" t="n">
        <v>105</v>
      </c>
      <c r="E10" s="28" t="n">
        <v>34</v>
      </c>
      <c r="F10" s="28" t="n">
        <v>8</v>
      </c>
      <c r="G10" s="28" t="n">
        <v>4</v>
      </c>
      <c r="H10" s="28" t="n">
        <v>14</v>
      </c>
      <c r="I10" s="29" t="n">
        <v>0.38</v>
      </c>
      <c r="J10" s="35" t="n">
        <f aca="false">ROUNDUP($B$20*F10*SQRT(G10),0)</f>
        <v>27</v>
      </c>
      <c r="K10" s="35" t="n">
        <f aca="false">E10*G10+J10</f>
        <v>163</v>
      </c>
      <c r="L10" s="36" t="n">
        <f aca="false">IF(E10=0,0,D10/E10)</f>
        <v>3.08823529411765</v>
      </c>
      <c r="M10" s="37" t="str">
        <f aca="false">IF(D10&lt;=K10,"REORDER","OK")</f>
        <v>REORDER</v>
      </c>
      <c r="N10" s="37" t="str">
        <f aca="false">IF(L10&gt;H10,"AT RISK","OK")</f>
        <v>OK</v>
      </c>
      <c r="O10" s="35" t="n">
        <f aca="false">MAX(0,D10-E10*H10)</f>
        <v>0</v>
      </c>
      <c r="P10" s="35" t="n">
        <f aca="false">IF(D10&lt;=K10,MAX(0,MIN(K10+E10*3,E10*H10)-D10),0)</f>
        <v>160</v>
      </c>
      <c r="Q10" s="38" t="n">
        <f aca="false">P10*I10</f>
        <v>60.8</v>
      </c>
      <c r="R10" s="38" t="n">
        <f aca="false">D10*I10</f>
        <v>39.9</v>
      </c>
      <c r="S10" s="38" t="n">
        <f aca="false">O10*I10</f>
        <v>0</v>
      </c>
      <c r="T10" s="35" t="n">
        <f aca="false">RANK(L10,$L$5:$L$16,1)+COUNTIF($L$5:L10,L10)-1</f>
        <v>4</v>
      </c>
    </row>
    <row r="11" customFormat="false" ht="24.75" hidden="false" customHeight="true" outlineLevel="0" collapsed="false">
      <c r="A11" s="27" t="s">
        <v>48</v>
      </c>
      <c r="B11" s="27" t="s">
        <v>46</v>
      </c>
      <c r="C11" s="27" t="s">
        <v>38</v>
      </c>
      <c r="D11" s="28" t="n">
        <v>235</v>
      </c>
      <c r="E11" s="28" t="n">
        <v>10</v>
      </c>
      <c r="F11" s="28" t="n">
        <v>3</v>
      </c>
      <c r="G11" s="28" t="n">
        <v>5</v>
      </c>
      <c r="H11" s="28" t="n">
        <v>365</v>
      </c>
      <c r="I11" s="29" t="n">
        <v>1.65</v>
      </c>
      <c r="J11" s="30" t="n">
        <f aca="false">ROUNDUP($B$20*F11*SQRT(G11),0)</f>
        <v>12</v>
      </c>
      <c r="K11" s="30" t="n">
        <f aca="false">E11*G11+J11</f>
        <v>62</v>
      </c>
      <c r="L11" s="31" t="n">
        <f aca="false">IF(E11=0,0,D11/E11)</f>
        <v>23.5</v>
      </c>
      <c r="M11" s="32" t="str">
        <f aca="false">IF(D11&lt;=K11,"REORDER","OK")</f>
        <v>OK</v>
      </c>
      <c r="N11" s="32" t="str">
        <f aca="false">IF(L11&gt;H11,"AT RISK","OK")</f>
        <v>OK</v>
      </c>
      <c r="O11" s="30" t="n">
        <f aca="false">MAX(0,D11-E11*H11)</f>
        <v>0</v>
      </c>
      <c r="P11" s="30" t="n">
        <f aca="false">IF(D11&lt;=K11,MAX(0,MIN(K11+E11*3,E11*H11)-D11),0)</f>
        <v>0</v>
      </c>
      <c r="Q11" s="33" t="n">
        <f aca="false">P11*I11</f>
        <v>0</v>
      </c>
      <c r="R11" s="33" t="n">
        <f aca="false">D11*I11</f>
        <v>387.75</v>
      </c>
      <c r="S11" s="33" t="n">
        <f aca="false">O11*I11</f>
        <v>0</v>
      </c>
      <c r="T11" s="30" t="n">
        <f aca="false">RANK(L11,$L$5:$L$16,1)+COUNTIF($L$5:L11,L11)-1</f>
        <v>12</v>
      </c>
    </row>
    <row r="12" customFormat="false" ht="24.75" hidden="false" customHeight="true" outlineLevel="0" collapsed="false">
      <c r="A12" s="34" t="s">
        <v>49</v>
      </c>
      <c r="B12" s="34" t="s">
        <v>40</v>
      </c>
      <c r="C12" s="34" t="s">
        <v>41</v>
      </c>
      <c r="D12" s="28" t="n">
        <v>88</v>
      </c>
      <c r="E12" s="28" t="n">
        <v>6</v>
      </c>
      <c r="F12" s="28" t="n">
        <v>2</v>
      </c>
      <c r="G12" s="28" t="n">
        <v>2</v>
      </c>
      <c r="H12" s="28" t="n">
        <v>7</v>
      </c>
      <c r="I12" s="29" t="n">
        <v>1.2</v>
      </c>
      <c r="J12" s="35" t="n">
        <f aca="false">ROUNDUP($B$20*F12*SQRT(G12),0)</f>
        <v>5</v>
      </c>
      <c r="K12" s="35" t="n">
        <f aca="false">E12*G12+J12</f>
        <v>17</v>
      </c>
      <c r="L12" s="36" t="n">
        <f aca="false">IF(E12=0,0,D12/E12)</f>
        <v>14.6666666666667</v>
      </c>
      <c r="M12" s="37" t="str">
        <f aca="false">IF(D12&lt;=K12,"REORDER","OK")</f>
        <v>OK</v>
      </c>
      <c r="N12" s="37" t="str">
        <f aca="false">IF(L12&gt;H12,"AT RISK","OK")</f>
        <v>AT RISK</v>
      </c>
      <c r="O12" s="35" t="n">
        <f aca="false">MAX(0,D12-E12*H12)</f>
        <v>46</v>
      </c>
      <c r="P12" s="35" t="n">
        <f aca="false">IF(D12&lt;=K12,MAX(0,MIN(K12+E12*3,E12*H12)-D12),0)</f>
        <v>0</v>
      </c>
      <c r="Q12" s="38" t="n">
        <f aca="false">P12*I12</f>
        <v>0</v>
      </c>
      <c r="R12" s="38" t="n">
        <f aca="false">D12*I12</f>
        <v>105.6</v>
      </c>
      <c r="S12" s="38" t="n">
        <f aca="false">O12*I12</f>
        <v>55.2</v>
      </c>
      <c r="T12" s="35" t="n">
        <f aca="false">RANK(L12,$L$5:$L$16,1)+COUNTIF($L$5:L12,L12)-1</f>
        <v>11</v>
      </c>
    </row>
    <row r="13" customFormat="false" ht="24.75" hidden="false" customHeight="true" outlineLevel="0" collapsed="false">
      <c r="A13" s="27" t="s">
        <v>50</v>
      </c>
      <c r="B13" s="27" t="s">
        <v>51</v>
      </c>
      <c r="C13" s="27" t="s">
        <v>38</v>
      </c>
      <c r="D13" s="28" t="n">
        <v>16</v>
      </c>
      <c r="E13" s="28" t="n">
        <v>5</v>
      </c>
      <c r="F13" s="28" t="n">
        <v>1.5</v>
      </c>
      <c r="G13" s="28" t="n">
        <v>4</v>
      </c>
      <c r="H13" s="28" t="n">
        <v>21</v>
      </c>
      <c r="I13" s="29" t="n">
        <v>5.8</v>
      </c>
      <c r="J13" s="30" t="n">
        <f aca="false">ROUNDUP($B$20*F13*SQRT(G13),0)</f>
        <v>5</v>
      </c>
      <c r="K13" s="30" t="n">
        <f aca="false">E13*G13+J13</f>
        <v>25</v>
      </c>
      <c r="L13" s="31" t="n">
        <f aca="false">IF(E13=0,0,D13/E13)</f>
        <v>3.2</v>
      </c>
      <c r="M13" s="32" t="str">
        <f aca="false">IF(D13&lt;=K13,"REORDER","OK")</f>
        <v>REORDER</v>
      </c>
      <c r="N13" s="32" t="str">
        <f aca="false">IF(L13&gt;H13,"AT RISK","OK")</f>
        <v>OK</v>
      </c>
      <c r="O13" s="30" t="n">
        <f aca="false">MAX(0,D13-E13*H13)</f>
        <v>0</v>
      </c>
      <c r="P13" s="30" t="n">
        <f aca="false">IF(D13&lt;=K13,MAX(0,MIN(K13+E13*3,E13*H13)-D13),0)</f>
        <v>24</v>
      </c>
      <c r="Q13" s="33" t="n">
        <f aca="false">P13*I13</f>
        <v>139.2</v>
      </c>
      <c r="R13" s="33" t="n">
        <f aca="false">D13*I13</f>
        <v>92.8</v>
      </c>
      <c r="S13" s="33" t="n">
        <f aca="false">O13*I13</f>
        <v>0</v>
      </c>
      <c r="T13" s="30" t="n">
        <f aca="false">RANK(L13,$L$5:$L$16,1)+COUNTIF($L$5:L13,L13)-1</f>
        <v>5</v>
      </c>
    </row>
    <row r="14" customFormat="false" ht="24.75" hidden="false" customHeight="true" outlineLevel="0" collapsed="false">
      <c r="A14" s="34" t="s">
        <v>52</v>
      </c>
      <c r="B14" s="34" t="s">
        <v>40</v>
      </c>
      <c r="C14" s="34" t="s">
        <v>53</v>
      </c>
      <c r="D14" s="28" t="n">
        <v>13</v>
      </c>
      <c r="E14" s="28" t="n">
        <v>5</v>
      </c>
      <c r="F14" s="28" t="n">
        <v>2</v>
      </c>
      <c r="G14" s="28" t="n">
        <v>2</v>
      </c>
      <c r="H14" s="28" t="n">
        <v>5</v>
      </c>
      <c r="I14" s="29" t="n">
        <v>3.4</v>
      </c>
      <c r="J14" s="35" t="n">
        <f aca="false">ROUNDUP($B$20*F14*SQRT(G14),0)</f>
        <v>5</v>
      </c>
      <c r="K14" s="35" t="n">
        <f aca="false">E14*G14+J14</f>
        <v>15</v>
      </c>
      <c r="L14" s="36" t="n">
        <f aca="false">IF(E14=0,0,D14/E14)</f>
        <v>2.6</v>
      </c>
      <c r="M14" s="37" t="str">
        <f aca="false">IF(D14&lt;=K14,"REORDER","OK")</f>
        <v>REORDER</v>
      </c>
      <c r="N14" s="37" t="str">
        <f aca="false">IF(L14&gt;H14,"AT RISK","OK")</f>
        <v>OK</v>
      </c>
      <c r="O14" s="35" t="n">
        <f aca="false">MAX(0,D14-E14*H14)</f>
        <v>0</v>
      </c>
      <c r="P14" s="35" t="n">
        <f aca="false">IF(D14&lt;=K14,MAX(0,MIN(K14+E14*3,E14*H14)-D14),0)</f>
        <v>12</v>
      </c>
      <c r="Q14" s="38" t="n">
        <f aca="false">P14*I14</f>
        <v>40.8</v>
      </c>
      <c r="R14" s="38" t="n">
        <f aca="false">D14*I14</f>
        <v>44.2</v>
      </c>
      <c r="S14" s="38" t="n">
        <f aca="false">O14*I14</f>
        <v>0</v>
      </c>
      <c r="T14" s="35" t="n">
        <f aca="false">RANK(L14,$L$5:$L$16,1)+COUNTIF($L$5:L14,L14)-1</f>
        <v>2</v>
      </c>
    </row>
    <row r="15" customFormat="false" ht="24.75" hidden="false" customHeight="true" outlineLevel="0" collapsed="false">
      <c r="A15" s="27" t="s">
        <v>54</v>
      </c>
      <c r="B15" s="27" t="s">
        <v>55</v>
      </c>
      <c r="C15" s="27" t="s">
        <v>56</v>
      </c>
      <c r="D15" s="28" t="n">
        <v>25</v>
      </c>
      <c r="E15" s="28" t="n">
        <v>2</v>
      </c>
      <c r="F15" s="28" t="n">
        <v>0.5</v>
      </c>
      <c r="G15" s="28" t="n">
        <v>7</v>
      </c>
      <c r="H15" s="28" t="n">
        <v>180</v>
      </c>
      <c r="I15" s="29" t="n">
        <v>8.25</v>
      </c>
      <c r="J15" s="30" t="n">
        <f aca="false">ROUNDUP($B$20*F15*SQRT(G15),0)</f>
        <v>3</v>
      </c>
      <c r="K15" s="30" t="n">
        <f aca="false">E15*G15+J15</f>
        <v>17</v>
      </c>
      <c r="L15" s="31" t="n">
        <f aca="false">IF(E15=0,0,D15/E15)</f>
        <v>12.5</v>
      </c>
      <c r="M15" s="32" t="str">
        <f aca="false">IF(D15&lt;=K15,"REORDER","OK")</f>
        <v>OK</v>
      </c>
      <c r="N15" s="32" t="str">
        <f aca="false">IF(L15&gt;H15,"AT RISK","OK")</f>
        <v>OK</v>
      </c>
      <c r="O15" s="30" t="n">
        <f aca="false">MAX(0,D15-E15*H15)</f>
        <v>0</v>
      </c>
      <c r="P15" s="30" t="n">
        <f aca="false">IF(D15&lt;=K15,MAX(0,MIN(K15+E15*3,E15*H15)-D15),0)</f>
        <v>0</v>
      </c>
      <c r="Q15" s="33" t="n">
        <f aca="false">P15*I15</f>
        <v>0</v>
      </c>
      <c r="R15" s="33" t="n">
        <f aca="false">D15*I15</f>
        <v>206.25</v>
      </c>
      <c r="S15" s="33" t="n">
        <f aca="false">O15*I15</f>
        <v>0</v>
      </c>
      <c r="T15" s="30" t="n">
        <f aca="false">RANK(L15,$L$5:$L$16,1)+COUNTIF($L$5:L15,L15)-1</f>
        <v>10</v>
      </c>
    </row>
    <row r="16" customFormat="false" ht="24.75" hidden="false" customHeight="true" outlineLevel="0" collapsed="false">
      <c r="A16" s="34" t="s">
        <v>57</v>
      </c>
      <c r="B16" s="34" t="s">
        <v>40</v>
      </c>
      <c r="C16" s="34" t="s">
        <v>41</v>
      </c>
      <c r="D16" s="28" t="n">
        <v>38</v>
      </c>
      <c r="E16" s="28" t="n">
        <v>11</v>
      </c>
      <c r="F16" s="28" t="n">
        <v>3</v>
      </c>
      <c r="G16" s="28" t="n">
        <v>3</v>
      </c>
      <c r="H16" s="28" t="n">
        <v>21</v>
      </c>
      <c r="I16" s="29" t="n">
        <v>0.65</v>
      </c>
      <c r="J16" s="35" t="n">
        <f aca="false">ROUNDUP($B$20*F16*SQRT(G16),0)</f>
        <v>9</v>
      </c>
      <c r="K16" s="35" t="n">
        <f aca="false">E16*G16+J16</f>
        <v>42</v>
      </c>
      <c r="L16" s="36" t="n">
        <f aca="false">IF(E16=0,0,D16/E16)</f>
        <v>3.45454545454545</v>
      </c>
      <c r="M16" s="37" t="str">
        <f aca="false">IF(D16&lt;=K16,"REORDER","OK")</f>
        <v>REORDER</v>
      </c>
      <c r="N16" s="37" t="str">
        <f aca="false">IF(L16&gt;H16,"AT RISK","OK")</f>
        <v>OK</v>
      </c>
      <c r="O16" s="35" t="n">
        <f aca="false">MAX(0,D16-E16*H16)</f>
        <v>0</v>
      </c>
      <c r="P16" s="35" t="n">
        <f aca="false">IF(D16&lt;=K16,MAX(0,MIN(K16+E16*3,E16*H16)-D16),0)</f>
        <v>37</v>
      </c>
      <c r="Q16" s="38" t="n">
        <f aca="false">P16*I16</f>
        <v>24.05</v>
      </c>
      <c r="R16" s="38" t="n">
        <f aca="false">D16*I16</f>
        <v>24.7</v>
      </c>
      <c r="S16" s="38" t="n">
        <f aca="false">O16*I16</f>
        <v>0</v>
      </c>
      <c r="T16" s="35" t="n">
        <f aca="false">RANK(L16,$L$5:$L$16,1)+COUNTIF($L$5:L16,L16)-1</f>
        <v>8</v>
      </c>
    </row>
    <row r="18" customFormat="false" ht="24.75" hidden="false" customHeight="true" outlineLevel="0" collapsed="false">
      <c r="A18" s="26" t="s">
        <v>58</v>
      </c>
      <c r="B18" s="26"/>
    </row>
    <row r="19" customFormat="false" ht="24.75" hidden="false" customHeight="true" outlineLevel="0" collapsed="false">
      <c r="A19" s="27" t="s">
        <v>59</v>
      </c>
      <c r="B19" s="39" t="n">
        <v>0.95</v>
      </c>
    </row>
    <row r="20" customFormat="false" ht="24.75" hidden="false" customHeight="true" outlineLevel="0" collapsed="false">
      <c r="A20" s="34" t="s">
        <v>60</v>
      </c>
      <c r="B20" s="40" t="n">
        <f aca="false">NORMSINV(B19)</f>
        <v>1.64485362695147</v>
      </c>
    </row>
  </sheetData>
  <mergeCells count="2">
    <mergeCell ref="A1:T1"/>
    <mergeCell ref="A2:T2"/>
  </mergeCells>
  <conditionalFormatting sqref="M5:M16">
    <cfRule type="expression" priority="2" aboveAverage="0" equalAverage="0" bottom="0" percent="0" rank="0" text="" dxfId="1">
      <formula>M5="REORDER"</formula>
    </cfRule>
    <cfRule type="expression" priority="3" aboveAverage="0" equalAverage="0" bottom="0" percent="0" rank="0" text="" dxfId="2">
      <formula>M5="OK"</formula>
    </cfRule>
  </conditionalFormatting>
  <conditionalFormatting sqref="N5:N16">
    <cfRule type="expression" priority="4" aboveAverage="0" equalAverage="0" bottom="0" percent="0" rank="0" text="" dxfId="1">
      <formula>N5="AT RISK"</formula>
    </cfRule>
    <cfRule type="expression" priority="5" aboveAverage="0" equalAverage="0" bottom="0" percent="0" rank="0" text="" dxfId="2">
      <formula>N5="OK"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2.7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95"/>
  </cols>
  <sheetData>
    <row r="1" customFormat="false" ht="12.75" hidden="false" customHeight="false" outlineLevel="0" collapsed="false">
      <c r="A1" s="41" t="s">
        <v>61</v>
      </c>
      <c r="B1" s="41"/>
      <c r="C1" s="41"/>
      <c r="D1" s="41"/>
      <c r="E1" s="41"/>
      <c r="F1" s="41"/>
      <c r="G1" s="41"/>
      <c r="H1" s="41"/>
    </row>
    <row r="2" customFormat="false" ht="12.75" hidden="false" customHeight="false" outlineLevel="0" collapsed="false">
      <c r="A2" s="41"/>
      <c r="B2" s="41"/>
      <c r="C2" s="41"/>
      <c r="D2" s="41"/>
      <c r="E2" s="41"/>
      <c r="F2" s="41"/>
      <c r="G2" s="41"/>
      <c r="H2" s="41"/>
    </row>
    <row r="3" customFormat="false" ht="18" hidden="false" customHeight="true" outlineLevel="0" collapsed="false">
      <c r="A3" s="42"/>
      <c r="B3" s="42"/>
      <c r="C3" s="42"/>
      <c r="D3" s="43"/>
      <c r="E3" s="43"/>
      <c r="F3" s="43"/>
      <c r="G3" s="43"/>
      <c r="H3" s="43"/>
    </row>
    <row r="4" customFormat="false" ht="18" hidden="false" customHeight="true" outlineLevel="0" collapsed="false">
      <c r="A4" s="42"/>
      <c r="B4" s="42"/>
      <c r="C4" s="42"/>
      <c r="D4" s="43"/>
      <c r="E4" s="43"/>
      <c r="F4" s="43"/>
      <c r="G4" s="43"/>
      <c r="H4" s="43"/>
    </row>
    <row r="5" customFormat="false" ht="41.25" hidden="false" customHeight="true" outlineLevel="0" collapsed="false">
      <c r="A5" s="44" t="s">
        <v>62</v>
      </c>
      <c r="B5" s="45" t="s">
        <v>63</v>
      </c>
      <c r="C5" s="46" t="s">
        <v>64</v>
      </c>
      <c r="D5" s="43"/>
      <c r="E5" s="43"/>
      <c r="F5" s="43"/>
      <c r="G5" s="43"/>
      <c r="H5" s="43"/>
    </row>
    <row r="6" customFormat="false" ht="41.25" hidden="false" customHeight="true" outlineLevel="0" collapsed="false">
      <c r="A6" s="44" t="s">
        <v>65</v>
      </c>
      <c r="B6" s="45" t="s">
        <v>66</v>
      </c>
      <c r="C6" s="46" t="s">
        <v>67</v>
      </c>
      <c r="D6" s="43"/>
      <c r="E6" s="43"/>
      <c r="F6" s="43"/>
      <c r="G6" s="43"/>
      <c r="H6" s="43"/>
    </row>
    <row r="7" customFormat="false" ht="41.25" hidden="false" customHeight="true" outlineLevel="0" collapsed="false">
      <c r="A7" s="44" t="s">
        <v>68</v>
      </c>
      <c r="B7" s="45" t="s">
        <v>69</v>
      </c>
      <c r="C7" s="46" t="s">
        <v>70</v>
      </c>
      <c r="D7" s="43"/>
      <c r="E7" s="43"/>
      <c r="F7" s="43"/>
      <c r="G7" s="43"/>
      <c r="H7" s="43"/>
    </row>
    <row r="8" customFormat="false" ht="41.25" hidden="false" customHeight="true" outlineLevel="0" collapsed="false">
      <c r="A8" s="44" t="s">
        <v>71</v>
      </c>
      <c r="B8" s="45" t="s">
        <v>27</v>
      </c>
      <c r="C8" s="46" t="s">
        <v>72</v>
      </c>
      <c r="D8" s="43"/>
      <c r="E8" s="43"/>
      <c r="F8" s="43"/>
      <c r="G8" s="43"/>
      <c r="H8" s="43"/>
    </row>
    <row r="9" customFormat="false" ht="41.25" hidden="false" customHeight="true" outlineLevel="0" collapsed="false">
      <c r="A9" s="44" t="s">
        <v>73</v>
      </c>
      <c r="B9" s="45" t="s">
        <v>9</v>
      </c>
      <c r="C9" s="46" t="s">
        <v>74</v>
      </c>
      <c r="D9" s="43"/>
      <c r="E9" s="43"/>
      <c r="F9" s="43"/>
      <c r="G9" s="43"/>
      <c r="H9" s="43"/>
    </row>
    <row r="10" customFormat="false" ht="41.25" hidden="false" customHeight="true" outlineLevel="0" collapsed="false">
      <c r="A10" s="44" t="s">
        <v>75</v>
      </c>
      <c r="B10" s="45" t="s">
        <v>29</v>
      </c>
      <c r="C10" s="46" t="s">
        <v>76</v>
      </c>
      <c r="D10" s="43"/>
      <c r="E10" s="43"/>
      <c r="F10" s="43"/>
      <c r="G10" s="43"/>
      <c r="H10" s="43"/>
    </row>
    <row r="11" customFormat="false" ht="41.25" hidden="false" customHeight="true" outlineLevel="0" collapsed="false">
      <c r="A11" s="44" t="s">
        <v>77</v>
      </c>
      <c r="B11" s="45" t="s">
        <v>31</v>
      </c>
      <c r="C11" s="46" t="s">
        <v>78</v>
      </c>
      <c r="D11" s="43"/>
      <c r="E11" s="43"/>
      <c r="F11" s="43"/>
      <c r="G11" s="43"/>
      <c r="H11" s="43"/>
    </row>
    <row r="12" customFormat="false" ht="41.25" hidden="false" customHeight="true" outlineLevel="0" collapsed="false">
      <c r="A12" s="44" t="s">
        <v>79</v>
      </c>
      <c r="B12" s="45" t="s">
        <v>80</v>
      </c>
      <c r="C12" s="46" t="s">
        <v>81</v>
      </c>
      <c r="D12" s="43"/>
      <c r="E12" s="43"/>
      <c r="F12" s="43"/>
      <c r="G12" s="43"/>
      <c r="H12" s="43"/>
    </row>
    <row r="13" customFormat="false" ht="41.25" hidden="false" customHeight="true" outlineLevel="0" collapsed="false">
      <c r="A13" s="44" t="s">
        <v>82</v>
      </c>
      <c r="B13" s="45" t="s">
        <v>83</v>
      </c>
      <c r="C13" s="46" t="s">
        <v>84</v>
      </c>
      <c r="D13" s="43"/>
      <c r="E13" s="43"/>
      <c r="F13" s="43"/>
      <c r="G13" s="43"/>
      <c r="H13" s="43"/>
    </row>
    <row r="14" customFormat="false" ht="41.25" hidden="false" customHeight="true" outlineLevel="0" collapsed="false">
      <c r="A14" s="44" t="s">
        <v>85</v>
      </c>
      <c r="B14" s="45" t="s">
        <v>86</v>
      </c>
      <c r="C14" s="46" t="s">
        <v>87</v>
      </c>
      <c r="D14" s="43"/>
      <c r="E14" s="43"/>
      <c r="F14" s="43"/>
      <c r="G14" s="43"/>
      <c r="H14" s="43"/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2026-10-10T16:12:45Z</dcterms:created>
  <dc:creator>openpyxl</dc:creator>
  <dc:description/>
  <dc:language>en-US</dc:language>
  <cp:lastModifiedBy/>
  <dcterms:modified xsi:type="dcterms:W3CDTF">2026-10-26T10:44:50Z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