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zionblackwell/Downloads/"/>
    </mc:Choice>
  </mc:AlternateContent>
  <xr:revisionPtr revIDLastSave="0" documentId="8_{017CA912-437C-4840-B4BE-0B449A016E72}" xr6:coauthVersionLast="47" xr6:coauthVersionMax="47" xr10:uidLastSave="{00000000-0000-0000-0000-000000000000}"/>
  <bookViews>
    <workbookView xWindow="0" yWindow="500" windowWidth="16380" windowHeight="8200" tabRatio="500" activeTab="1" xr2:uid="{00000000-000D-0000-FFFF-FFFF00000000}"/>
  </bookViews>
  <sheets>
    <sheet name="Dashboard" sheetId="1" r:id="rId1"/>
    <sheet name="Inventory Data" sheetId="2" r:id="rId2"/>
    <sheet name="Project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6" i="2" l="1"/>
  <c r="J16" i="2"/>
  <c r="N16" i="2" s="1"/>
  <c r="I16" i="2"/>
  <c r="L16" i="2" s="1"/>
  <c r="M15" i="2"/>
  <c r="L15" i="2"/>
  <c r="J15" i="2"/>
  <c r="N15" i="2" s="1"/>
  <c r="I15" i="2"/>
  <c r="K15" i="2" s="1"/>
  <c r="E22" i="1" s="1"/>
  <c r="M14" i="2"/>
  <c r="L14" i="2"/>
  <c r="J14" i="2"/>
  <c r="D21" i="1" s="1"/>
  <c r="I14" i="2"/>
  <c r="K14" i="2" s="1"/>
  <c r="E21" i="1" s="1"/>
  <c r="M13" i="2"/>
  <c r="L13" i="2"/>
  <c r="J13" i="2"/>
  <c r="D20" i="1" s="1"/>
  <c r="I13" i="2"/>
  <c r="K13" i="2" s="1"/>
  <c r="E20" i="1" s="1"/>
  <c r="M12" i="2"/>
  <c r="J12" i="2"/>
  <c r="N12" i="2" s="1"/>
  <c r="I12" i="2"/>
  <c r="L12" i="2" s="1"/>
  <c r="N11" i="2"/>
  <c r="M11" i="2"/>
  <c r="L11" i="2"/>
  <c r="K11" i="2"/>
  <c r="J11" i="2"/>
  <c r="I11" i="2"/>
  <c r="M10" i="2"/>
  <c r="L10" i="2"/>
  <c r="J10" i="2"/>
  <c r="D17" i="1" s="1"/>
  <c r="I10" i="2"/>
  <c r="C17" i="1" s="1"/>
  <c r="M9" i="2"/>
  <c r="L9" i="2"/>
  <c r="K9" i="2"/>
  <c r="J9" i="2"/>
  <c r="N9" i="2" s="1"/>
  <c r="I9" i="2"/>
  <c r="M8" i="2"/>
  <c r="J8" i="2"/>
  <c r="N8" i="2" s="1"/>
  <c r="I8" i="2"/>
  <c r="L8" i="2" s="1"/>
  <c r="M7" i="2"/>
  <c r="L7" i="2"/>
  <c r="K7" i="2"/>
  <c r="J7" i="2"/>
  <c r="I7" i="2"/>
  <c r="N6" i="2"/>
  <c r="M6" i="2"/>
  <c r="L6" i="2"/>
  <c r="J6" i="2"/>
  <c r="I6" i="2"/>
  <c r="K6" i="2" s="1"/>
  <c r="M5" i="2"/>
  <c r="L5" i="2"/>
  <c r="K5" i="2"/>
  <c r="J5" i="2"/>
  <c r="N5" i="2" s="1"/>
  <c r="I5" i="2"/>
  <c r="D23" i="1"/>
  <c r="C23" i="1"/>
  <c r="B23" i="1"/>
  <c r="A23" i="1"/>
  <c r="D22" i="1"/>
  <c r="C22" i="1"/>
  <c r="B22" i="1"/>
  <c r="A22" i="1"/>
  <c r="C21" i="1"/>
  <c r="B21" i="1"/>
  <c r="A21" i="1"/>
  <c r="C20" i="1"/>
  <c r="B20" i="1"/>
  <c r="A20" i="1"/>
  <c r="D19" i="1"/>
  <c r="C19" i="1"/>
  <c r="B19" i="1"/>
  <c r="A19" i="1"/>
  <c r="E18" i="1"/>
  <c r="D18" i="1"/>
  <c r="C18" i="1"/>
  <c r="B18" i="1"/>
  <c r="A18" i="1"/>
  <c r="B17" i="1"/>
  <c r="A17" i="1"/>
  <c r="E16" i="1"/>
  <c r="D16" i="1"/>
  <c r="C16" i="1"/>
  <c r="B16" i="1"/>
  <c r="A16" i="1"/>
  <c r="C15" i="1"/>
  <c r="B15" i="1"/>
  <c r="A15" i="1"/>
  <c r="E14" i="1"/>
  <c r="D14" i="1"/>
  <c r="C14" i="1"/>
  <c r="B14" i="1"/>
  <c r="A14" i="1"/>
  <c r="D13" i="1"/>
  <c r="C13" i="1"/>
  <c r="B13" i="1"/>
  <c r="A13" i="1"/>
  <c r="E12" i="1"/>
  <c r="D12" i="1"/>
  <c r="C12" i="1"/>
  <c r="B12" i="1"/>
  <c r="A12" i="1"/>
  <c r="J7" i="1"/>
  <c r="G7" i="1"/>
  <c r="A7" i="1"/>
  <c r="E13" i="1" l="1"/>
  <c r="O13" i="1"/>
  <c r="O14" i="1"/>
  <c r="N14" i="1"/>
  <c r="N15" i="1"/>
  <c r="N12" i="1"/>
  <c r="O12" i="1"/>
  <c r="K10" i="2"/>
  <c r="E17" i="1" s="1"/>
  <c r="N7" i="2"/>
  <c r="N13" i="1" s="1"/>
  <c r="D15" i="1"/>
  <c r="N10" i="2"/>
  <c r="N14" i="2"/>
  <c r="K8" i="2"/>
  <c r="E15" i="1" s="1"/>
  <c r="K12" i="2"/>
  <c r="E19" i="1" s="1"/>
  <c r="K16" i="2"/>
  <c r="E23" i="1" s="1"/>
  <c r="N13" i="2"/>
  <c r="O16" i="1" l="1"/>
  <c r="O15" i="1"/>
  <c r="N16" i="1"/>
  <c r="D7" i="1"/>
</calcChain>
</file>

<file path=xl/sharedStrings.xml><?xml version="1.0" encoding="utf-8"?>
<sst xmlns="http://schemas.openxmlformats.org/spreadsheetml/2006/main" count="93" uniqueCount="73">
  <si>
    <t>FRESH FORK  |  INVENTORY CONTROL CENTER</t>
  </si>
  <si>
    <t>FICTIONAL DEMONSTRATION  •  POS-TO-INVENTORY “SELL-TO-SHELF” CONCEPT</t>
  </si>
  <si>
    <t>SKUS TRACKED</t>
  </si>
  <si>
    <t>REORDER FLAGS</t>
  </si>
  <si>
    <t>INVENTORY VALUE</t>
  </si>
  <si>
    <t>LOWEST COVER</t>
  </si>
  <si>
    <t>INVENTORY STATUS</t>
  </si>
  <si>
    <t>Ingredient</t>
  </si>
  <si>
    <t>On hand</t>
  </si>
  <si>
    <t>Reorder point</t>
  </si>
  <si>
    <t>Days cover</t>
  </si>
  <si>
    <t>Status</t>
  </si>
  <si>
    <t>Lowest cover</t>
  </si>
  <si>
    <t>Days of cover</t>
  </si>
  <si>
    <t>REORDER LOGIC  /  Reorder point = average daily use × supplier lead time + safety stock</t>
  </si>
  <si>
    <t>DEMO ONLY  •  All data are fabricated. No actual company results, savings, or improvements are claimed.</t>
  </si>
  <si>
    <t>FICTIONAL SAMPLE DATA  •  Change the input columns to explore reorder recommendations.</t>
  </si>
  <si>
    <t>Category</t>
  </si>
  <si>
    <t>Unit</t>
  </si>
  <si>
    <t>Avg daily use</t>
  </si>
  <si>
    <t>Lead time (days)</t>
  </si>
  <si>
    <t>Safety stock</t>
  </si>
  <si>
    <t>Unit cost ($)</t>
  </si>
  <si>
    <t>Reorder status</t>
  </si>
  <si>
    <t>Suggested order</t>
  </si>
  <si>
    <t>Stock value ($)</t>
  </si>
  <si>
    <t>Cover rank</t>
  </si>
  <si>
    <t>Chicken breast</t>
  </si>
  <si>
    <t>Protein</t>
  </si>
  <si>
    <t>lb</t>
  </si>
  <si>
    <t>Avocados</t>
  </si>
  <si>
    <t>Produce</t>
  </si>
  <si>
    <t>each</t>
  </si>
  <si>
    <t>Romaine lettuce</t>
  </si>
  <si>
    <t>head</t>
  </si>
  <si>
    <t>Tomatoes</t>
  </si>
  <si>
    <t>Brown rice</t>
  </si>
  <si>
    <t>Dry goods</t>
  </si>
  <si>
    <t>Tortillas</t>
  </si>
  <si>
    <t>Black beans</t>
  </si>
  <si>
    <t>Cucumbers</t>
  </si>
  <si>
    <t>Feta cheese</t>
  </si>
  <si>
    <t>Dairy</t>
  </si>
  <si>
    <t>Spinach</t>
  </si>
  <si>
    <t>bag</t>
  </si>
  <si>
    <t>Olive oil</t>
  </si>
  <si>
    <t>Pantry</t>
  </si>
  <si>
    <t>bottle</t>
  </si>
  <si>
    <t>Lemons</t>
  </si>
  <si>
    <t>FRESH FORK | PROJECT GUIDE</t>
  </si>
  <si>
    <t>01</t>
  </si>
  <si>
    <t>Purpose</t>
  </si>
  <si>
    <t>Illustrates how point-of-sale ingredient deductions could feed an inventory dashboard.</t>
  </si>
  <si>
    <t>02</t>
  </si>
  <si>
    <t>Sample data</t>
  </si>
  <si>
    <t>Every ingredient quantity, cost, consumption rate and lead time is fictional.</t>
  </si>
  <si>
    <t>03</t>
  </si>
  <si>
    <t>Edit inputs</t>
  </si>
  <si>
    <t>Open Inventory Data; edit the warm-ivory input columns D:H. Formulas update automatically.</t>
  </si>
  <si>
    <t>04</t>
  </si>
  <si>
    <t>Average daily usage × lead time + safety stock. Flags when on-hand &lt;= reorder point.</t>
  </si>
  <si>
    <t>05</t>
  </si>
  <si>
    <t>Demonstration policy: reorder up to reorder point plus three days of usage.</t>
  </si>
  <si>
    <t>06</t>
  </si>
  <si>
    <t>What it does NOT do</t>
  </si>
  <si>
    <t>This workbook is not connected to a live POS system or supplier. It does not track actual waste.</t>
  </si>
  <si>
    <t>07</t>
  </si>
  <si>
    <t>Case study context</t>
  </si>
  <si>
    <t>Fresh Fork is a hypothetical scenario; separate from the real Rutgers Flavour Hub team project.</t>
  </si>
  <si>
    <t>08</t>
  </si>
  <si>
    <t>Scenario detail</t>
  </si>
  <si>
    <t>The case prompt cites about 20% weekly produce waste; this dashboard does not claim to reduce it.</t>
  </si>
  <si>
    <t>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</si>
</sst>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&quot; days&quot;"/>
    <numFmt numFmtId="166" formatCode="0.0"/>
  </numFmts>
  <fonts count="18" x14ac:knownFonts="1">
    <font>
      <sz val="10"/>
      <name val="Arial"/>
      <family val="2"/>
    </font>
    <font>
      <sz val="11"/>
      <name val="Calibri"/>
      <family val="2"/>
    </font>
    <font>
      <b/>
      <sz val="12"/>
      <color rgb="FFFFFFFF"/>
      <name val="Times New Roman"/>
      <family val="1"/>
    </font>
    <font>
      <sz val="12"/>
      <color rgb="FFFFFFFF"/>
      <name val="Times New Roman"/>
      <family val="1"/>
    </font>
    <font>
      <sz val="12"/>
      <color rgb="FF27332E"/>
      <name val="Times New Roman"/>
      <family val="1"/>
    </font>
    <font>
      <i/>
      <sz val="12"/>
      <color rgb="FF294A40"/>
      <name val="Times New Roman"/>
      <family val="1"/>
    </font>
    <font>
      <sz val="12"/>
      <color rgb="FF294A40"/>
      <name val="Times New Roman"/>
      <family val="1"/>
    </font>
    <font>
      <b/>
      <sz val="12"/>
      <color rgb="FF294A40"/>
      <name val="Times New Roman"/>
      <family val="1"/>
    </font>
    <font>
      <i/>
      <sz val="12"/>
      <color rgb="FF27332E"/>
      <name val="Times New Roman"/>
      <family val="1"/>
    </font>
    <font>
      <b/>
      <sz val="16"/>
      <color rgb="FFFFFFFF"/>
      <name val="Calibri"/>
      <family val="2"/>
    </font>
    <font>
      <i/>
      <sz val="11"/>
      <color rgb="FF294A40"/>
      <name val="Calibri"/>
      <family val="2"/>
    </font>
    <font>
      <sz val="11"/>
      <color rgb="FF27332E"/>
      <name val="Calibri"/>
      <family val="2"/>
    </font>
    <font>
      <b/>
      <sz val="10"/>
      <color rgb="FFFFFFFF"/>
      <name val="Calibri"/>
      <family val="2"/>
    </font>
    <font>
      <b/>
      <sz val="14"/>
      <color rgb="FFFFFFFF"/>
      <name val="Times New Roman"/>
      <family val="1"/>
    </font>
    <font>
      <sz val="14"/>
      <color rgb="FF27332E"/>
      <name val="Times New Roman"/>
      <family val="1"/>
    </font>
    <font>
      <sz val="14"/>
      <name val="Times New Roman"/>
      <family val="1"/>
    </font>
    <font>
      <b/>
      <sz val="14"/>
      <color rgb="FF294A40"/>
      <name val="Times New Roman"/>
      <family val="1"/>
    </font>
    <font>
      <b/>
      <sz val="14"/>
      <color rgb="FF27332E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294A40"/>
        <bgColor rgb="FF27332E"/>
      </patternFill>
    </fill>
    <fill>
      <patternFill patternType="solid">
        <fgColor rgb="FFFAF9F5"/>
        <bgColor rgb="FFFFFFFF"/>
      </patternFill>
    </fill>
    <fill>
      <patternFill patternType="solid">
        <fgColor rgb="FFEAF2EC"/>
        <bgColor rgb="FFE6F2E9"/>
      </patternFill>
    </fill>
    <fill>
      <patternFill patternType="solid">
        <fgColor rgb="FFFFFFFF"/>
        <bgColor rgb="FFFAF9F5"/>
      </patternFill>
    </fill>
    <fill>
      <patternFill patternType="solid">
        <fgColor rgb="FFE9E2D6"/>
        <bgColor rgb="FFDDDDD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13" fillId="2" borderId="0" xfId="1" applyFont="1" applyFill="1"/>
    <xf numFmtId="0" fontId="10" fillId="4" borderId="0" xfId="1" applyFont="1" applyFill="1"/>
    <xf numFmtId="0" fontId="9" fillId="2" borderId="0" xfId="1" applyFont="1" applyFill="1"/>
    <xf numFmtId="0" fontId="3" fillId="2" borderId="0" xfId="1" applyFont="1" applyFill="1"/>
    <xf numFmtId="0" fontId="8" fillId="4" borderId="0" xfId="1" applyFont="1" applyFill="1"/>
    <xf numFmtId="0" fontId="2" fillId="2" borderId="0" xfId="1" applyFont="1" applyFill="1" applyAlignment="1">
      <alignment vertical="center"/>
    </xf>
    <xf numFmtId="0" fontId="5" fillId="4" borderId="0" xfId="1" applyFont="1" applyFill="1"/>
    <xf numFmtId="0" fontId="2" fillId="2" borderId="0" xfId="1" applyFont="1" applyFill="1"/>
    <xf numFmtId="0" fontId="3" fillId="2" borderId="0" xfId="1" applyFont="1" applyFill="1"/>
    <xf numFmtId="0" fontId="4" fillId="3" borderId="0" xfId="1" applyFont="1" applyFill="1"/>
    <xf numFmtId="0" fontId="6" fillId="4" borderId="0" xfId="1" applyFont="1" applyFill="1"/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1" fontId="7" fillId="4" borderId="0" xfId="1" applyNumberFormat="1" applyFont="1" applyFill="1" applyAlignment="1">
      <alignment vertical="center"/>
    </xf>
    <xf numFmtId="0" fontId="6" fillId="4" borderId="0" xfId="1" applyFont="1" applyFill="1" applyAlignment="1">
      <alignment vertical="center"/>
    </xf>
    <xf numFmtId="164" fontId="7" fillId="4" borderId="0" xfId="1" applyNumberFormat="1" applyFont="1" applyFill="1" applyAlignment="1">
      <alignment vertical="center"/>
    </xf>
    <xf numFmtId="165" fontId="7" fillId="4" borderId="0" xfId="1" applyNumberFormat="1" applyFont="1" applyFill="1" applyAlignment="1">
      <alignment vertical="center"/>
    </xf>
    <xf numFmtId="0" fontId="2" fillId="2" borderId="0" xfId="1" applyFont="1" applyFill="1" applyAlignment="1">
      <alignment horizontal="center" vertical="center" wrapText="1"/>
    </xf>
    <xf numFmtId="0" fontId="4" fillId="5" borderId="0" xfId="1" applyFont="1" applyFill="1"/>
    <xf numFmtId="0" fontId="4" fillId="5" borderId="0" xfId="1" applyFont="1" applyFill="1" applyAlignment="1">
      <alignment horizontal="center" vertical="center"/>
    </xf>
    <xf numFmtId="166" fontId="4" fillId="5" borderId="0" xfId="1" applyNumberFormat="1" applyFont="1" applyFill="1" applyAlignment="1">
      <alignment horizontal="center" vertical="center"/>
    </xf>
    <xf numFmtId="166" fontId="4" fillId="3" borderId="0" xfId="1" applyNumberFormat="1" applyFont="1" applyFill="1" applyAlignment="1">
      <alignment horizontal="center" vertical="center"/>
    </xf>
    <xf numFmtId="0" fontId="4" fillId="4" borderId="0" xfId="1" applyFont="1" applyFill="1"/>
    <xf numFmtId="0" fontId="4" fillId="4" borderId="0" xfId="1" applyFont="1" applyFill="1" applyAlignment="1">
      <alignment horizontal="center" vertical="center"/>
    </xf>
    <xf numFmtId="166" fontId="4" fillId="4" borderId="0" xfId="1" applyNumberFormat="1" applyFont="1" applyFill="1" applyAlignment="1">
      <alignment horizontal="center" vertical="center"/>
    </xf>
    <xf numFmtId="0" fontId="11" fillId="3" borderId="0" xfId="1" applyFont="1" applyFill="1"/>
    <xf numFmtId="0" fontId="12" fillId="2" borderId="0" xfId="1" applyFont="1" applyFill="1" applyAlignment="1">
      <alignment horizontal="center" vertical="center" wrapText="1"/>
    </xf>
    <xf numFmtId="0" fontId="11" fillId="5" borderId="0" xfId="1" applyFont="1" applyFill="1"/>
    <xf numFmtId="0" fontId="11" fillId="6" borderId="0" xfId="1" applyFont="1" applyFill="1" applyAlignment="1">
      <alignment horizontal="center" vertical="center"/>
    </xf>
    <xf numFmtId="164" fontId="11" fillId="6" borderId="0" xfId="1" applyNumberFormat="1" applyFont="1" applyFill="1" applyAlignment="1">
      <alignment horizontal="center" vertical="center"/>
    </xf>
    <xf numFmtId="0" fontId="11" fillId="5" borderId="0" xfId="1" applyFont="1" applyFill="1" applyAlignment="1">
      <alignment horizontal="center" vertical="center"/>
    </xf>
    <xf numFmtId="166" fontId="11" fillId="5" borderId="0" xfId="1" applyNumberFormat="1" applyFont="1" applyFill="1" applyAlignment="1">
      <alignment horizontal="center" vertical="center"/>
    </xf>
    <xf numFmtId="164" fontId="11" fillId="5" borderId="0" xfId="1" applyNumberFormat="1" applyFont="1" applyFill="1" applyAlignment="1">
      <alignment horizontal="center" vertical="center"/>
    </xf>
    <xf numFmtId="1" fontId="11" fillId="5" borderId="0" xfId="1" applyNumberFormat="1" applyFont="1" applyFill="1" applyAlignment="1">
      <alignment horizontal="center" vertical="center"/>
    </xf>
    <xf numFmtId="0" fontId="11" fillId="4" borderId="0" xfId="1" applyFont="1" applyFill="1"/>
    <xf numFmtId="0" fontId="11" fillId="4" borderId="0" xfId="1" applyFont="1" applyFill="1" applyAlignment="1">
      <alignment horizontal="center" vertical="center"/>
    </xf>
    <xf numFmtId="166" fontId="11" fillId="4" borderId="0" xfId="1" applyNumberFormat="1" applyFont="1" applyFill="1" applyAlignment="1">
      <alignment horizontal="center" vertical="center"/>
    </xf>
    <xf numFmtId="164" fontId="11" fillId="4" borderId="0" xfId="1" applyNumberFormat="1" applyFont="1" applyFill="1" applyAlignment="1">
      <alignment horizontal="center" vertical="center"/>
    </xf>
    <xf numFmtId="1" fontId="11" fillId="4" borderId="0" xfId="1" applyNumberFormat="1" applyFont="1" applyFill="1" applyAlignment="1">
      <alignment horizontal="center" vertical="center"/>
    </xf>
    <xf numFmtId="0" fontId="14" fillId="3" borderId="0" xfId="1" applyFont="1" applyFill="1"/>
    <xf numFmtId="0" fontId="15" fillId="0" borderId="0" xfId="1" applyFont="1"/>
    <xf numFmtId="0" fontId="16" fillId="4" borderId="0" xfId="1" applyFont="1" applyFill="1"/>
    <xf numFmtId="0" fontId="17" fillId="4" borderId="0" xfId="1" applyFont="1" applyFill="1"/>
    <xf numFmtId="0" fontId="14" fillId="5" borderId="0" xfId="1" applyFont="1" applyFill="1"/>
  </cellXfs>
  <cellStyles count="2">
    <cellStyle name="Normal" xfId="0" builtinId="0"/>
    <cellStyle name="Normal 2" xfId="1" xr:uid="{00000000-0005-0000-0000-000006000000}"/>
  </cellStyles>
  <dxfs count="3">
    <dxf>
      <font>
        <b/>
        <color rgb="FF276547"/>
      </font>
      <fill>
        <patternFill>
          <bgColor rgb="FFE6F2E9"/>
        </patternFill>
      </fill>
    </dxf>
    <dxf>
      <font>
        <b/>
        <color rgb="FF9A4035"/>
      </font>
      <fill>
        <patternFill>
          <bgColor rgb="FFFBE9E5"/>
        </patternFill>
      </fill>
    </dxf>
    <dxf>
      <font>
        <b/>
        <color rgb="FF9A3D30"/>
      </font>
      <fill>
        <patternFill>
          <bgColor rgb="FFFCEA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6547"/>
      <rgbColor rgb="FFDDDDDD"/>
      <rgbColor rgb="FF8B8B8B"/>
      <rgbColor rgb="FF9999FF"/>
      <rgbColor rgb="FF9A4035"/>
      <rgbColor rgb="FFFAF9F5"/>
      <rgbColor rgb="FFE6F2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EC"/>
      <rgbColor rgb="FFE9E2D6"/>
      <rgbColor rgb="FFFBE9E5"/>
      <rgbColor rgb="FF99CCFF"/>
      <rgbColor rgb="FFFF99CC"/>
      <rgbColor rgb="FFCC99FF"/>
      <rgbColor rgb="FFFCEAE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94A40"/>
      <rgbColor rgb="FF9A3D30"/>
      <rgbColor rgb="FF993366"/>
      <rgbColor rgb="FF333399"/>
      <rgbColor rgb="FF2733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Lowest 5 · days of inventory cover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Dashboard!$O$11</c:f>
              <c:strCache>
                <c:ptCount val="1"/>
                <c:pt idx="0">
                  <c:v>Days of cover</c:v>
                </c:pt>
              </c:strCache>
            </c:strRef>
          </c:tx>
          <c:spPr>
            <a:solidFill>
              <a:srgbClr val="294A4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Dashboard!$N$12:$N$16</c:f>
              <c:strCache>
                <c:ptCount val="5"/>
                <c:pt idx="0">
                  <c:v>Avocados</c:v>
                </c:pt>
                <c:pt idx="1">
                  <c:v>Spinach</c:v>
                </c:pt>
                <c:pt idx="2">
                  <c:v>Chicken breast</c:v>
                </c:pt>
                <c:pt idx="3">
                  <c:v>Tortillas</c:v>
                </c:pt>
                <c:pt idx="4">
                  <c:v>Feta cheese</c:v>
                </c:pt>
              </c:strCache>
            </c:strRef>
          </c:cat>
          <c:val>
            <c:numRef>
              <c:f>Dashboard!$O$12:$O$16</c:f>
              <c:numCache>
                <c:formatCode>0.0</c:formatCode>
                <c:ptCount val="5"/>
                <c:pt idx="0">
                  <c:v>1.9444444444444444</c:v>
                </c:pt>
                <c:pt idx="1">
                  <c:v>2.6</c:v>
                </c:pt>
                <c:pt idx="2">
                  <c:v>2.8</c:v>
                </c:pt>
                <c:pt idx="3">
                  <c:v>3.0882352941176472</c:v>
                </c:pt>
                <c:pt idx="4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2-BD4C-B77F-D3B781654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120833"/>
        <c:axId val="24125257"/>
      </c:barChart>
      <c:catAx>
        <c:axId val="171208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4125257"/>
        <c:crosses val="autoZero"/>
        <c:auto val="1"/>
        <c:lblAlgn val="ctr"/>
        <c:lblOffset val="100"/>
        <c:noMultiLvlLbl val="0"/>
      </c:catAx>
      <c:valAx>
        <c:axId val="24125257"/>
        <c:scaling>
          <c:orientation val="minMax"/>
        </c:scaling>
        <c:delete val="0"/>
        <c:axPos val="l"/>
        <c:majorGridlines>
          <c:spPr>
            <a:ln w="12600">
              <a:solidFill>
                <a:srgbClr val="DDDDD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71208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10</xdr:row>
      <xdr:rowOff>12700</xdr:rowOff>
    </xdr:from>
    <xdr:to>
      <xdr:col>12</xdr:col>
      <xdr:colOff>0</xdr:colOff>
      <xdr:row>23</xdr:row>
      <xdr:rowOff>176740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zoomScaleNormal="100" workbookViewId="0">
      <selection activeCell="O7" sqref="O7"/>
    </sheetView>
  </sheetViews>
  <sheetFormatPr baseColWidth="10" defaultColWidth="8.83203125" defaultRowHeight="13" x14ac:dyDescent="0.15"/>
  <cols>
    <col min="1" max="1" width="24" customWidth="1"/>
    <col min="2" max="2" width="17" customWidth="1"/>
    <col min="3" max="3" width="20" customWidth="1"/>
    <col min="4" max="5" width="17" customWidth="1"/>
    <col min="7" max="7" width="17" customWidth="1"/>
    <col min="14" max="14" width="24" customWidth="1"/>
    <col min="15" max="15" width="22" customWidth="1"/>
  </cols>
  <sheetData>
    <row r="1" spans="1:15" ht="34.5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  <c r="N1" s="9"/>
      <c r="O1" s="9"/>
    </row>
    <row r="2" spans="1:15" ht="34.5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9"/>
      <c r="O2" s="9"/>
    </row>
    <row r="3" spans="1:15" ht="15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34.5" customHeight="1" x14ac:dyDescent="0.2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11"/>
      <c r="N4" s="11"/>
      <c r="O4" s="11"/>
    </row>
    <row r="5" spans="1:15" ht="15.7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36.75" customHeight="1" x14ac:dyDescent="0.2">
      <c r="A6" s="12" t="s">
        <v>2</v>
      </c>
      <c r="B6" s="13"/>
      <c r="C6" s="13"/>
      <c r="D6" s="12" t="s">
        <v>3</v>
      </c>
      <c r="E6" s="13"/>
      <c r="F6" s="13"/>
      <c r="G6" s="12" t="s">
        <v>4</v>
      </c>
      <c r="H6" s="13"/>
      <c r="I6" s="13"/>
      <c r="J6" s="12" t="s">
        <v>5</v>
      </c>
      <c r="K6" s="13"/>
      <c r="L6" s="13"/>
      <c r="M6" s="10"/>
      <c r="N6" s="10"/>
      <c r="O6" s="10"/>
    </row>
    <row r="7" spans="1:15" ht="57" customHeight="1" x14ac:dyDescent="0.2">
      <c r="A7" s="14">
        <f>COUNTA('Inventory Data'!A5:A16)</f>
        <v>12</v>
      </c>
      <c r="B7" s="15"/>
      <c r="C7" s="15"/>
      <c r="D7" s="14">
        <f>COUNTIF('Inventory Data'!K5:K16,"REORDER")</f>
        <v>8</v>
      </c>
      <c r="E7" s="15"/>
      <c r="F7" s="15"/>
      <c r="G7" s="16">
        <f>SUM('Inventory Data'!M5:M16)</f>
        <v>1396.05</v>
      </c>
      <c r="H7" s="15"/>
      <c r="I7" s="15"/>
      <c r="J7" s="17">
        <f>MIN('Inventory Data'!J5:J16)</f>
        <v>1.9444444444444444</v>
      </c>
      <c r="K7" s="15"/>
      <c r="L7" s="15"/>
      <c r="M7" s="10"/>
      <c r="N7" s="10"/>
      <c r="O7" s="10"/>
    </row>
    <row r="8" spans="1:15" ht="15.75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0"/>
      <c r="N8" s="10"/>
      <c r="O8" s="10"/>
    </row>
    <row r="9" spans="1:15" ht="15.75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36.75" customHeight="1" x14ac:dyDescent="0.2">
      <c r="A10" s="6" t="s">
        <v>6</v>
      </c>
      <c r="B10" s="6"/>
      <c r="C10" s="6"/>
      <c r="D10" s="6"/>
      <c r="E10" s="6"/>
      <c r="F10" s="9"/>
      <c r="G10" s="9"/>
      <c r="H10" s="9"/>
      <c r="I10" s="9"/>
      <c r="J10" s="9"/>
      <c r="K10" s="9"/>
      <c r="L10" s="9"/>
      <c r="M10" s="10"/>
      <c r="N10" s="10"/>
      <c r="O10" s="10"/>
    </row>
    <row r="11" spans="1:15" ht="39.75" customHeight="1" x14ac:dyDescent="0.2">
      <c r="A11" s="18" t="s">
        <v>7</v>
      </c>
      <c r="B11" s="18" t="s">
        <v>8</v>
      </c>
      <c r="C11" s="18" t="s">
        <v>9</v>
      </c>
      <c r="D11" s="18" t="s">
        <v>10</v>
      </c>
      <c r="E11" s="18" t="s">
        <v>11</v>
      </c>
      <c r="F11" s="10"/>
      <c r="G11" s="10"/>
      <c r="H11" s="10"/>
      <c r="I11" s="10"/>
      <c r="J11" s="10"/>
      <c r="K11" s="10"/>
      <c r="L11" s="10"/>
      <c r="M11" s="10"/>
      <c r="N11" s="18" t="s">
        <v>12</v>
      </c>
      <c r="O11" s="18" t="s">
        <v>13</v>
      </c>
    </row>
    <row r="12" spans="1:15" ht="15.75" customHeight="1" x14ac:dyDescent="0.2">
      <c r="A12" s="19" t="str">
        <f>'Inventory Data'!A5</f>
        <v>Chicken breast</v>
      </c>
      <c r="B12" s="20">
        <f>'Inventory Data'!D5</f>
        <v>42</v>
      </c>
      <c r="C12" s="20">
        <f>'Inventory Data'!I5</f>
        <v>57</v>
      </c>
      <c r="D12" s="21">
        <f>'Inventory Data'!J5</f>
        <v>2.8</v>
      </c>
      <c r="E12" s="19" t="str">
        <f>'Inventory Data'!K5</f>
        <v>REORDER</v>
      </c>
      <c r="F12" s="10"/>
      <c r="G12" s="10"/>
      <c r="H12" s="10"/>
      <c r="I12" s="10"/>
      <c r="J12" s="10"/>
      <c r="K12" s="10"/>
      <c r="L12" s="10"/>
      <c r="M12" s="10"/>
      <c r="N12" s="10" t="str">
        <f>INDEX('Inventory Data'!$A$5:$A$16,MATCH(1,'Inventory Data'!$N$5:$N$16,0))</f>
        <v>Avocados</v>
      </c>
      <c r="O12" s="22">
        <f>INDEX('Inventory Data'!$J$5:$J$16,MATCH(1,'Inventory Data'!$N$5:$N$16,0))</f>
        <v>1.9444444444444444</v>
      </c>
    </row>
    <row r="13" spans="1:15" ht="15.75" customHeight="1" x14ac:dyDescent="0.2">
      <c r="A13" s="23" t="str">
        <f>'Inventory Data'!A6</f>
        <v>Avocados</v>
      </c>
      <c r="B13" s="24">
        <f>'Inventory Data'!D6</f>
        <v>35</v>
      </c>
      <c r="C13" s="24">
        <f>'Inventory Data'!I6</f>
        <v>50</v>
      </c>
      <c r="D13" s="25">
        <f>'Inventory Data'!J6</f>
        <v>1.9444444444444444</v>
      </c>
      <c r="E13" s="23" t="str">
        <f>'Inventory Data'!K6</f>
        <v>REORDER</v>
      </c>
      <c r="F13" s="10"/>
      <c r="G13" s="10"/>
      <c r="H13" s="10"/>
      <c r="I13" s="10"/>
      <c r="J13" s="10"/>
      <c r="K13" s="10"/>
      <c r="L13" s="10"/>
      <c r="M13" s="10"/>
      <c r="N13" s="10" t="str">
        <f>INDEX('Inventory Data'!$A$5:$A$16,MATCH(2,'Inventory Data'!$N$5:$N$16,0))</f>
        <v>Spinach</v>
      </c>
      <c r="O13" s="22">
        <f>INDEX('Inventory Data'!$J$5:$J$16,MATCH(2,'Inventory Data'!$N$5:$N$16,0))</f>
        <v>2.6</v>
      </c>
    </row>
    <row r="14" spans="1:15" ht="15.75" customHeight="1" x14ac:dyDescent="0.2">
      <c r="A14" s="19" t="str">
        <f>'Inventory Data'!A7</f>
        <v>Romaine lettuce</v>
      </c>
      <c r="B14" s="20">
        <f>'Inventory Data'!D7</f>
        <v>43</v>
      </c>
      <c r="C14" s="20">
        <f>'Inventory Data'!I7</f>
        <v>28</v>
      </c>
      <c r="D14" s="21">
        <f>'Inventory Data'!J7</f>
        <v>4.7777777777777777</v>
      </c>
      <c r="E14" s="19" t="str">
        <f>'Inventory Data'!K7</f>
        <v>OK</v>
      </c>
      <c r="F14" s="10"/>
      <c r="G14" s="10"/>
      <c r="H14" s="10"/>
      <c r="I14" s="10"/>
      <c r="J14" s="10"/>
      <c r="K14" s="10"/>
      <c r="L14" s="10"/>
      <c r="M14" s="10"/>
      <c r="N14" s="10" t="str">
        <f>INDEX('Inventory Data'!$A$5:$A$16,MATCH(3,'Inventory Data'!$N$5:$N$16,0))</f>
        <v>Chicken breast</v>
      </c>
      <c r="O14" s="22">
        <f>INDEX('Inventory Data'!$J$5:$J$16,MATCH(3,'Inventory Data'!$N$5:$N$16,0))</f>
        <v>2.8</v>
      </c>
    </row>
    <row r="15" spans="1:15" ht="15.75" customHeight="1" x14ac:dyDescent="0.2">
      <c r="A15" s="23" t="str">
        <f>'Inventory Data'!A8</f>
        <v>Tomatoes</v>
      </c>
      <c r="B15" s="24">
        <f>'Inventory Data'!D8</f>
        <v>24</v>
      </c>
      <c r="C15" s="24">
        <f>'Inventory Data'!I8</f>
        <v>29</v>
      </c>
      <c r="D15" s="25">
        <f>'Inventory Data'!J8</f>
        <v>3.4285714285714284</v>
      </c>
      <c r="E15" s="23" t="str">
        <f>'Inventory Data'!K8</f>
        <v>REORDER</v>
      </c>
      <c r="F15" s="10"/>
      <c r="G15" s="10"/>
      <c r="H15" s="10"/>
      <c r="I15" s="10"/>
      <c r="J15" s="10"/>
      <c r="K15" s="10"/>
      <c r="L15" s="10"/>
      <c r="M15" s="10"/>
      <c r="N15" s="10" t="str">
        <f>INDEX('Inventory Data'!$A$5:$A$16,MATCH(4,'Inventory Data'!$N$5:$N$16,0))</f>
        <v>Tortillas</v>
      </c>
      <c r="O15" s="22">
        <f>INDEX('Inventory Data'!$J$5:$J$16,MATCH(4,'Inventory Data'!$N$5:$N$16,0))</f>
        <v>3.0882352941176472</v>
      </c>
    </row>
    <row r="16" spans="1:15" ht="15.75" customHeight="1" x14ac:dyDescent="0.2">
      <c r="A16" s="19" t="str">
        <f>'Inventory Data'!A9</f>
        <v>Brown rice</v>
      </c>
      <c r="B16" s="20">
        <f>'Inventory Data'!D9</f>
        <v>40</v>
      </c>
      <c r="C16" s="20">
        <f>'Inventory Data'!I9</f>
        <v>80</v>
      </c>
      <c r="D16" s="21">
        <f>'Inventory Data'!J9</f>
        <v>3.3333333333333335</v>
      </c>
      <c r="E16" s="19" t="str">
        <f>'Inventory Data'!K9</f>
        <v>REORDER</v>
      </c>
      <c r="F16" s="10"/>
      <c r="G16" s="10"/>
      <c r="H16" s="10"/>
      <c r="I16" s="10"/>
      <c r="J16" s="10"/>
      <c r="K16" s="10"/>
      <c r="L16" s="10"/>
      <c r="M16" s="10"/>
      <c r="N16" s="10" t="str">
        <f>INDEX('Inventory Data'!$A$5:$A$16,MATCH(5,'Inventory Data'!$N$5:$N$16,0))</f>
        <v>Feta cheese</v>
      </c>
      <c r="O16" s="22">
        <f>INDEX('Inventory Data'!$J$5:$J$16,MATCH(5,'Inventory Data'!$N$5:$N$16,0))</f>
        <v>3.2</v>
      </c>
    </row>
    <row r="17" spans="1:15" ht="15.75" customHeight="1" x14ac:dyDescent="0.2">
      <c r="A17" s="23" t="str">
        <f>'Inventory Data'!A10</f>
        <v>Tortillas</v>
      </c>
      <c r="B17" s="24">
        <f>'Inventory Data'!D10</f>
        <v>105</v>
      </c>
      <c r="C17" s="24">
        <f>'Inventory Data'!I10</f>
        <v>196</v>
      </c>
      <c r="D17" s="25">
        <f>'Inventory Data'!J10</f>
        <v>3.0882352941176472</v>
      </c>
      <c r="E17" s="23" t="str">
        <f>'Inventory Data'!K10</f>
        <v>REORDER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ht="15.75" customHeight="1" x14ac:dyDescent="0.2">
      <c r="A18" s="19" t="str">
        <f>'Inventory Data'!A11</f>
        <v>Black beans</v>
      </c>
      <c r="B18" s="20">
        <f>'Inventory Data'!D11</f>
        <v>235</v>
      </c>
      <c r="C18" s="20">
        <f>'Inventory Data'!I11</f>
        <v>68</v>
      </c>
      <c r="D18" s="21">
        <f>'Inventory Data'!J11</f>
        <v>23.5</v>
      </c>
      <c r="E18" s="19" t="str">
        <f>'Inventory Data'!K11</f>
        <v>OK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ht="15.75" customHeight="1" x14ac:dyDescent="0.2">
      <c r="A19" s="23" t="str">
        <f>'Inventory Data'!A12</f>
        <v>Cucumbers</v>
      </c>
      <c r="B19" s="24">
        <f>'Inventory Data'!D12</f>
        <v>88</v>
      </c>
      <c r="C19" s="24">
        <f>'Inventory Data'!I12</f>
        <v>20</v>
      </c>
      <c r="D19" s="25">
        <f>'Inventory Data'!J12</f>
        <v>14.666666666666666</v>
      </c>
      <c r="E19" s="23" t="str">
        <f>'Inventory Data'!K12</f>
        <v>OK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ht="15.75" customHeight="1" x14ac:dyDescent="0.2">
      <c r="A20" s="19" t="str">
        <f>'Inventory Data'!A13</f>
        <v>Feta cheese</v>
      </c>
      <c r="B20" s="20">
        <f>'Inventory Data'!D13</f>
        <v>16</v>
      </c>
      <c r="C20" s="20">
        <f>'Inventory Data'!I13</f>
        <v>27</v>
      </c>
      <c r="D20" s="21">
        <f>'Inventory Data'!J13</f>
        <v>3.2</v>
      </c>
      <c r="E20" s="19" t="str">
        <f>'Inventory Data'!K13</f>
        <v>REORDER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ht="15.75" customHeight="1" x14ac:dyDescent="0.2">
      <c r="A21" s="23" t="str">
        <f>'Inventory Data'!A14</f>
        <v>Spinach</v>
      </c>
      <c r="B21" s="24">
        <f>'Inventory Data'!D14</f>
        <v>13</v>
      </c>
      <c r="C21" s="24">
        <f>'Inventory Data'!I14</f>
        <v>16</v>
      </c>
      <c r="D21" s="25">
        <f>'Inventory Data'!J14</f>
        <v>2.6</v>
      </c>
      <c r="E21" s="23" t="str">
        <f>'Inventory Data'!K14</f>
        <v>REORDER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ht="15.75" customHeight="1" x14ac:dyDescent="0.2">
      <c r="A22" s="19" t="str">
        <f>'Inventory Data'!A15</f>
        <v>Olive oil</v>
      </c>
      <c r="B22" s="20">
        <f>'Inventory Data'!D15</f>
        <v>25</v>
      </c>
      <c r="C22" s="20">
        <f>'Inventory Data'!I15</f>
        <v>18</v>
      </c>
      <c r="D22" s="21">
        <f>'Inventory Data'!J15</f>
        <v>12.5</v>
      </c>
      <c r="E22" s="19" t="str">
        <f>'Inventory Data'!K15</f>
        <v>OK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ht="15.75" customHeight="1" x14ac:dyDescent="0.2">
      <c r="A23" s="23" t="str">
        <f>'Inventory Data'!A16</f>
        <v>Lemons</v>
      </c>
      <c r="B23" s="24">
        <f>'Inventory Data'!D16</f>
        <v>38</v>
      </c>
      <c r="C23" s="24">
        <f>'Inventory Data'!I16</f>
        <v>45</v>
      </c>
      <c r="D23" s="25">
        <f>'Inventory Data'!J16</f>
        <v>3.4545454545454546</v>
      </c>
      <c r="E23" s="23" t="str">
        <f>'Inventory Data'!K16</f>
        <v>REORDER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ht="15.7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ht="15.7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5.7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15.7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ht="15.7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ht="15.7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ht="34.5" customHeight="1" x14ac:dyDescent="0.2">
      <c r="A30" s="5" t="s">
        <v>14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23"/>
      <c r="N30" s="23"/>
      <c r="O30" s="23"/>
    </row>
    <row r="31" spans="1:15" ht="15.75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15.7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5.7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5.7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ht="15.7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39.75" customHeight="1" x14ac:dyDescent="0.2">
      <c r="A36" s="4" t="s">
        <v>15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9"/>
      <c r="N36" s="9"/>
      <c r="O36" s="9"/>
    </row>
  </sheetData>
  <mergeCells count="5">
    <mergeCell ref="A1:L2"/>
    <mergeCell ref="A4:L4"/>
    <mergeCell ref="A10:E10"/>
    <mergeCell ref="A30:L30"/>
    <mergeCell ref="A36:L36"/>
  </mergeCells>
  <conditionalFormatting sqref="E12:E23">
    <cfRule type="expression" dxfId="2" priority="2">
      <formula>E12="REORDER"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tabSelected="1" zoomScaleNormal="100" workbookViewId="0">
      <pane ySplit="4" topLeftCell="A5" activePane="bottomLeft" state="frozen"/>
      <selection pane="bottomLeft" sqref="A1:M1"/>
    </sheetView>
  </sheetViews>
  <sheetFormatPr baseColWidth="10" defaultColWidth="8.83203125" defaultRowHeight="13" x14ac:dyDescent="0.15"/>
  <cols>
    <col min="1" max="1" width="23" customWidth="1"/>
    <col min="2" max="2" width="15" customWidth="1"/>
    <col min="3" max="3" width="12" customWidth="1"/>
    <col min="4" max="4" width="14" customWidth="1"/>
    <col min="5" max="5" width="17" customWidth="1"/>
    <col min="6" max="6" width="19" customWidth="1"/>
    <col min="7" max="8" width="16" customWidth="1"/>
    <col min="9" max="9" width="17" customWidth="1"/>
    <col min="10" max="10" width="16" customWidth="1"/>
    <col min="11" max="11" width="17" customWidth="1"/>
    <col min="12" max="12" width="19" customWidth="1"/>
    <col min="13" max="13" width="18" customWidth="1"/>
    <col min="14" max="14" width="13" customWidth="1"/>
  </cols>
  <sheetData>
    <row r="1" spans="1:14" ht="36" customHeight="1" x14ac:dyDescent="0.25">
      <c r="A1" s="3" t="s">
        <v>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4" ht="27.75" customHeight="1" x14ac:dyDescent="0.2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15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4" ht="36" customHeight="1" x14ac:dyDescent="0.15">
      <c r="A4" s="27" t="s">
        <v>7</v>
      </c>
      <c r="B4" s="27" t="s">
        <v>17</v>
      </c>
      <c r="C4" s="27" t="s">
        <v>18</v>
      </c>
      <c r="D4" s="27" t="s">
        <v>8</v>
      </c>
      <c r="E4" s="27" t="s">
        <v>19</v>
      </c>
      <c r="F4" s="27" t="s">
        <v>20</v>
      </c>
      <c r="G4" s="27" t="s">
        <v>21</v>
      </c>
      <c r="H4" s="27" t="s">
        <v>22</v>
      </c>
      <c r="I4" s="27" t="s">
        <v>9</v>
      </c>
      <c r="J4" s="27" t="s">
        <v>13</v>
      </c>
      <c r="K4" s="27" t="s">
        <v>23</v>
      </c>
      <c r="L4" s="27" t="s">
        <v>24</v>
      </c>
      <c r="M4" s="27" t="s">
        <v>25</v>
      </c>
      <c r="N4" s="27" t="s">
        <v>26</v>
      </c>
    </row>
    <row r="5" spans="1:14" ht="24.75" customHeight="1" x14ac:dyDescent="0.2">
      <c r="A5" s="28" t="s">
        <v>27</v>
      </c>
      <c r="B5" s="28" t="s">
        <v>28</v>
      </c>
      <c r="C5" s="28" t="s">
        <v>29</v>
      </c>
      <c r="D5" s="29">
        <v>42</v>
      </c>
      <c r="E5" s="29">
        <v>15</v>
      </c>
      <c r="F5" s="29">
        <v>3</v>
      </c>
      <c r="G5" s="29">
        <v>12</v>
      </c>
      <c r="H5" s="30">
        <v>5.25</v>
      </c>
      <c r="I5" s="31">
        <f t="shared" ref="I5:I16" si="0">E5*F5+G5</f>
        <v>57</v>
      </c>
      <c r="J5" s="32">
        <f t="shared" ref="J5:J16" si="1">IF(E5=0,0,D5/E5)</f>
        <v>2.8</v>
      </c>
      <c r="K5" s="31" t="str">
        <f t="shared" ref="K5:K16" si="2">IF(D5&lt;=I5,"REORDER","OK")</f>
        <v>REORDER</v>
      </c>
      <c r="L5" s="31">
        <f t="shared" ref="L5:L16" si="3">IF(D5&lt;=I5,MAX(0,I5+E5*3-D5),0)</f>
        <v>60</v>
      </c>
      <c r="M5" s="33">
        <f t="shared" ref="M5:M16" si="4">D5*H5</f>
        <v>220.5</v>
      </c>
      <c r="N5" s="34">
        <f>RANK(J5,$J$5:$J$16,1)+COUNTIF($J$5:J5,J5)-1</f>
        <v>3</v>
      </c>
    </row>
    <row r="6" spans="1:14" ht="24.75" customHeight="1" x14ac:dyDescent="0.2">
      <c r="A6" s="35" t="s">
        <v>30</v>
      </c>
      <c r="B6" s="35" t="s">
        <v>31</v>
      </c>
      <c r="C6" s="35" t="s">
        <v>32</v>
      </c>
      <c r="D6" s="29">
        <v>35</v>
      </c>
      <c r="E6" s="29">
        <v>18</v>
      </c>
      <c r="F6" s="29">
        <v>2</v>
      </c>
      <c r="G6" s="29">
        <v>14</v>
      </c>
      <c r="H6" s="30">
        <v>1.35</v>
      </c>
      <c r="I6" s="36">
        <f t="shared" si="0"/>
        <v>50</v>
      </c>
      <c r="J6" s="37">
        <f t="shared" si="1"/>
        <v>1.9444444444444444</v>
      </c>
      <c r="K6" s="36" t="str">
        <f t="shared" si="2"/>
        <v>REORDER</v>
      </c>
      <c r="L6" s="36">
        <f t="shared" si="3"/>
        <v>69</v>
      </c>
      <c r="M6" s="38">
        <f t="shared" si="4"/>
        <v>47.25</v>
      </c>
      <c r="N6" s="39">
        <f>RANK(J6,$J$5:$J$16,1)+COUNTIF($J$5:J6,J6)-1</f>
        <v>1</v>
      </c>
    </row>
    <row r="7" spans="1:14" ht="24.75" customHeight="1" x14ac:dyDescent="0.2">
      <c r="A7" s="28" t="s">
        <v>33</v>
      </c>
      <c r="B7" s="28" t="s">
        <v>31</v>
      </c>
      <c r="C7" s="28" t="s">
        <v>34</v>
      </c>
      <c r="D7" s="29">
        <v>43</v>
      </c>
      <c r="E7" s="29">
        <v>9</v>
      </c>
      <c r="F7" s="29">
        <v>2</v>
      </c>
      <c r="G7" s="29">
        <v>10</v>
      </c>
      <c r="H7" s="30">
        <v>2.1</v>
      </c>
      <c r="I7" s="31">
        <f t="shared" si="0"/>
        <v>28</v>
      </c>
      <c r="J7" s="32">
        <f t="shared" si="1"/>
        <v>4.7777777777777777</v>
      </c>
      <c r="K7" s="31" t="str">
        <f t="shared" si="2"/>
        <v>OK</v>
      </c>
      <c r="L7" s="31">
        <f t="shared" si="3"/>
        <v>0</v>
      </c>
      <c r="M7" s="33">
        <f t="shared" si="4"/>
        <v>90.3</v>
      </c>
      <c r="N7" s="34">
        <f>RANK(J7,$J$5:$J$16,1)+COUNTIF($J$5:J7,J7)-1</f>
        <v>9</v>
      </c>
    </row>
    <row r="8" spans="1:14" ht="24.75" customHeight="1" x14ac:dyDescent="0.2">
      <c r="A8" s="35" t="s">
        <v>35</v>
      </c>
      <c r="B8" s="35" t="s">
        <v>31</v>
      </c>
      <c r="C8" s="35" t="s">
        <v>29</v>
      </c>
      <c r="D8" s="29">
        <v>24</v>
      </c>
      <c r="E8" s="29">
        <v>7</v>
      </c>
      <c r="F8" s="29">
        <v>3</v>
      </c>
      <c r="G8" s="29">
        <v>8</v>
      </c>
      <c r="H8" s="30">
        <v>2.4500000000000002</v>
      </c>
      <c r="I8" s="36">
        <f t="shared" si="0"/>
        <v>29</v>
      </c>
      <c r="J8" s="37">
        <f t="shared" si="1"/>
        <v>3.4285714285714284</v>
      </c>
      <c r="K8" s="36" t="str">
        <f t="shared" si="2"/>
        <v>REORDER</v>
      </c>
      <c r="L8" s="36">
        <f t="shared" si="3"/>
        <v>26</v>
      </c>
      <c r="M8" s="38">
        <f t="shared" si="4"/>
        <v>58.800000000000004</v>
      </c>
      <c r="N8" s="39">
        <f>RANK(J8,$J$5:$J$16,1)+COUNTIF($J$5:J8,J8)-1</f>
        <v>7</v>
      </c>
    </row>
    <row r="9" spans="1:14" ht="24.75" customHeight="1" x14ac:dyDescent="0.2">
      <c r="A9" s="28" t="s">
        <v>36</v>
      </c>
      <c r="B9" s="28" t="s">
        <v>37</v>
      </c>
      <c r="C9" s="28" t="s">
        <v>29</v>
      </c>
      <c r="D9" s="29">
        <v>40</v>
      </c>
      <c r="E9" s="29">
        <v>12</v>
      </c>
      <c r="F9" s="29">
        <v>5</v>
      </c>
      <c r="G9" s="29">
        <v>20</v>
      </c>
      <c r="H9" s="30">
        <v>1.95</v>
      </c>
      <c r="I9" s="31">
        <f t="shared" si="0"/>
        <v>80</v>
      </c>
      <c r="J9" s="32">
        <f t="shared" si="1"/>
        <v>3.3333333333333335</v>
      </c>
      <c r="K9" s="31" t="str">
        <f t="shared" si="2"/>
        <v>REORDER</v>
      </c>
      <c r="L9" s="31">
        <f t="shared" si="3"/>
        <v>76</v>
      </c>
      <c r="M9" s="33">
        <f t="shared" si="4"/>
        <v>78</v>
      </c>
      <c r="N9" s="34">
        <f>RANK(J9,$J$5:$J$16,1)+COUNTIF($J$5:J9,J9)-1</f>
        <v>6</v>
      </c>
    </row>
    <row r="10" spans="1:14" ht="24.75" customHeight="1" x14ac:dyDescent="0.2">
      <c r="A10" s="35" t="s">
        <v>38</v>
      </c>
      <c r="B10" s="35" t="s">
        <v>37</v>
      </c>
      <c r="C10" s="35" t="s">
        <v>32</v>
      </c>
      <c r="D10" s="29">
        <v>105</v>
      </c>
      <c r="E10" s="29">
        <v>34</v>
      </c>
      <c r="F10" s="29">
        <v>4</v>
      </c>
      <c r="G10" s="29">
        <v>60</v>
      </c>
      <c r="H10" s="30">
        <v>0.38</v>
      </c>
      <c r="I10" s="36">
        <f t="shared" si="0"/>
        <v>196</v>
      </c>
      <c r="J10" s="37">
        <f t="shared" si="1"/>
        <v>3.0882352941176472</v>
      </c>
      <c r="K10" s="36" t="str">
        <f t="shared" si="2"/>
        <v>REORDER</v>
      </c>
      <c r="L10" s="36">
        <f t="shared" si="3"/>
        <v>193</v>
      </c>
      <c r="M10" s="38">
        <f t="shared" si="4"/>
        <v>39.9</v>
      </c>
      <c r="N10" s="39">
        <f>RANK(J10,$J$5:$J$16,1)+COUNTIF($J$5:J10,J10)-1</f>
        <v>4</v>
      </c>
    </row>
    <row r="11" spans="1:14" ht="24.75" customHeight="1" x14ac:dyDescent="0.2">
      <c r="A11" s="28" t="s">
        <v>39</v>
      </c>
      <c r="B11" s="28" t="s">
        <v>37</v>
      </c>
      <c r="C11" s="28" t="s">
        <v>29</v>
      </c>
      <c r="D11" s="29">
        <v>235</v>
      </c>
      <c r="E11" s="29">
        <v>10</v>
      </c>
      <c r="F11" s="29">
        <v>5</v>
      </c>
      <c r="G11" s="29">
        <v>18</v>
      </c>
      <c r="H11" s="30">
        <v>1.65</v>
      </c>
      <c r="I11" s="31">
        <f t="shared" si="0"/>
        <v>68</v>
      </c>
      <c r="J11" s="32">
        <f t="shared" si="1"/>
        <v>23.5</v>
      </c>
      <c r="K11" s="31" t="str">
        <f t="shared" si="2"/>
        <v>OK</v>
      </c>
      <c r="L11" s="31">
        <f t="shared" si="3"/>
        <v>0</v>
      </c>
      <c r="M11" s="33">
        <f t="shared" si="4"/>
        <v>387.75</v>
      </c>
      <c r="N11" s="34">
        <f>RANK(J11,$J$5:$J$16,1)+COUNTIF($J$5:J11,J11)-1</f>
        <v>12</v>
      </c>
    </row>
    <row r="12" spans="1:14" ht="24.75" customHeight="1" x14ac:dyDescent="0.2">
      <c r="A12" s="35" t="s">
        <v>40</v>
      </c>
      <c r="B12" s="35" t="s">
        <v>31</v>
      </c>
      <c r="C12" s="35" t="s">
        <v>32</v>
      </c>
      <c r="D12" s="29">
        <v>88</v>
      </c>
      <c r="E12" s="29">
        <v>6</v>
      </c>
      <c r="F12" s="29">
        <v>2</v>
      </c>
      <c r="G12" s="29">
        <v>8</v>
      </c>
      <c r="H12" s="30">
        <v>1.2</v>
      </c>
      <c r="I12" s="36">
        <f t="shared" si="0"/>
        <v>20</v>
      </c>
      <c r="J12" s="37">
        <f t="shared" si="1"/>
        <v>14.666666666666666</v>
      </c>
      <c r="K12" s="36" t="str">
        <f t="shared" si="2"/>
        <v>OK</v>
      </c>
      <c r="L12" s="36">
        <f t="shared" si="3"/>
        <v>0</v>
      </c>
      <c r="M12" s="38">
        <f t="shared" si="4"/>
        <v>105.6</v>
      </c>
      <c r="N12" s="39">
        <f>RANK(J12,$J$5:$J$16,1)+COUNTIF($J$5:J12,J12)-1</f>
        <v>11</v>
      </c>
    </row>
    <row r="13" spans="1:14" ht="24.75" customHeight="1" x14ac:dyDescent="0.2">
      <c r="A13" s="28" t="s">
        <v>41</v>
      </c>
      <c r="B13" s="28" t="s">
        <v>42</v>
      </c>
      <c r="C13" s="28" t="s">
        <v>29</v>
      </c>
      <c r="D13" s="29">
        <v>16</v>
      </c>
      <c r="E13" s="29">
        <v>5</v>
      </c>
      <c r="F13" s="29">
        <v>4</v>
      </c>
      <c r="G13" s="29">
        <v>7</v>
      </c>
      <c r="H13" s="30">
        <v>5.8</v>
      </c>
      <c r="I13" s="31">
        <f t="shared" si="0"/>
        <v>27</v>
      </c>
      <c r="J13" s="32">
        <f t="shared" si="1"/>
        <v>3.2</v>
      </c>
      <c r="K13" s="31" t="str">
        <f t="shared" si="2"/>
        <v>REORDER</v>
      </c>
      <c r="L13" s="31">
        <f t="shared" si="3"/>
        <v>26</v>
      </c>
      <c r="M13" s="33">
        <f t="shared" si="4"/>
        <v>92.8</v>
      </c>
      <c r="N13" s="34">
        <f>RANK(J13,$J$5:$J$16,1)+COUNTIF($J$5:J13,J13)-1</f>
        <v>5</v>
      </c>
    </row>
    <row r="14" spans="1:14" ht="24.75" customHeight="1" x14ac:dyDescent="0.2">
      <c r="A14" s="35" t="s">
        <v>43</v>
      </c>
      <c r="B14" s="35" t="s">
        <v>31</v>
      </c>
      <c r="C14" s="35" t="s">
        <v>44</v>
      </c>
      <c r="D14" s="29">
        <v>13</v>
      </c>
      <c r="E14" s="29">
        <v>5</v>
      </c>
      <c r="F14" s="29">
        <v>2</v>
      </c>
      <c r="G14" s="29">
        <v>6</v>
      </c>
      <c r="H14" s="30">
        <v>3.4</v>
      </c>
      <c r="I14" s="36">
        <f t="shared" si="0"/>
        <v>16</v>
      </c>
      <c r="J14" s="37">
        <f t="shared" si="1"/>
        <v>2.6</v>
      </c>
      <c r="K14" s="36" t="str">
        <f t="shared" si="2"/>
        <v>REORDER</v>
      </c>
      <c r="L14" s="36">
        <f t="shared" si="3"/>
        <v>18</v>
      </c>
      <c r="M14" s="38">
        <f t="shared" si="4"/>
        <v>44.199999999999996</v>
      </c>
      <c r="N14" s="39">
        <f>RANK(J14,$J$5:$J$16,1)+COUNTIF($J$5:J14,J14)-1</f>
        <v>2</v>
      </c>
    </row>
    <row r="15" spans="1:14" ht="24.75" customHeight="1" x14ac:dyDescent="0.2">
      <c r="A15" s="28" t="s">
        <v>45</v>
      </c>
      <c r="B15" s="28" t="s">
        <v>46</v>
      </c>
      <c r="C15" s="28" t="s">
        <v>47</v>
      </c>
      <c r="D15" s="29">
        <v>25</v>
      </c>
      <c r="E15" s="29">
        <v>2</v>
      </c>
      <c r="F15" s="29">
        <v>7</v>
      </c>
      <c r="G15" s="29">
        <v>4</v>
      </c>
      <c r="H15" s="30">
        <v>8.25</v>
      </c>
      <c r="I15" s="31">
        <f t="shared" si="0"/>
        <v>18</v>
      </c>
      <c r="J15" s="32">
        <f t="shared" si="1"/>
        <v>12.5</v>
      </c>
      <c r="K15" s="31" t="str">
        <f t="shared" si="2"/>
        <v>OK</v>
      </c>
      <c r="L15" s="31">
        <f t="shared" si="3"/>
        <v>0</v>
      </c>
      <c r="M15" s="33">
        <f t="shared" si="4"/>
        <v>206.25</v>
      </c>
      <c r="N15" s="34">
        <f>RANK(J15,$J$5:$J$16,1)+COUNTIF($J$5:J15,J15)-1</f>
        <v>10</v>
      </c>
    </row>
    <row r="16" spans="1:14" ht="24.75" customHeight="1" x14ac:dyDescent="0.2">
      <c r="A16" s="35" t="s">
        <v>48</v>
      </c>
      <c r="B16" s="35" t="s">
        <v>31</v>
      </c>
      <c r="C16" s="35" t="s">
        <v>32</v>
      </c>
      <c r="D16" s="29">
        <v>38</v>
      </c>
      <c r="E16" s="29">
        <v>11</v>
      </c>
      <c r="F16" s="29">
        <v>3</v>
      </c>
      <c r="G16" s="29">
        <v>12</v>
      </c>
      <c r="H16" s="30">
        <v>0.65</v>
      </c>
      <c r="I16" s="36">
        <f t="shared" si="0"/>
        <v>45</v>
      </c>
      <c r="J16" s="37">
        <f t="shared" si="1"/>
        <v>3.4545454545454546</v>
      </c>
      <c r="K16" s="36" t="str">
        <f t="shared" si="2"/>
        <v>REORDER</v>
      </c>
      <c r="L16" s="36">
        <f t="shared" si="3"/>
        <v>40</v>
      </c>
      <c r="M16" s="38">
        <f t="shared" si="4"/>
        <v>24.7</v>
      </c>
      <c r="N16" s="39">
        <f>RANK(J16,$J$5:$J$16,1)+COUNTIF($J$5:J16,J16)-1</f>
        <v>8</v>
      </c>
    </row>
  </sheetData>
  <mergeCells count="2">
    <mergeCell ref="A1:M1"/>
    <mergeCell ref="A2:M2"/>
  </mergeCells>
  <conditionalFormatting sqref="K5:K16">
    <cfRule type="expression" dxfId="1" priority="2">
      <formula>K5="REORDER"</formula>
    </cfRule>
    <cfRule type="expression" dxfId="0" priority="3">
      <formula>K5="OK"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zoomScaleNormal="100" workbookViewId="0"/>
  </sheetViews>
  <sheetFormatPr baseColWidth="10" defaultColWidth="8.83203125" defaultRowHeight="13" x14ac:dyDescent="0.15"/>
  <cols>
    <col min="1" max="1" width="9" customWidth="1"/>
    <col min="2" max="2" width="24" customWidth="1"/>
    <col min="3" max="3" width="95" customWidth="1"/>
  </cols>
  <sheetData>
    <row r="1" spans="1:8" x14ac:dyDescent="0.15">
      <c r="A1" s="1" t="s">
        <v>49</v>
      </c>
      <c r="B1" s="1"/>
      <c r="C1" s="1"/>
      <c r="D1" s="1"/>
      <c r="E1" s="1"/>
      <c r="F1" s="1"/>
      <c r="G1" s="1"/>
      <c r="H1" s="1"/>
    </row>
    <row r="2" spans="1:8" x14ac:dyDescent="0.15">
      <c r="A2" s="1"/>
      <c r="B2" s="1"/>
      <c r="C2" s="1"/>
      <c r="D2" s="1"/>
      <c r="E2" s="1"/>
      <c r="F2" s="1"/>
      <c r="G2" s="1"/>
      <c r="H2" s="1"/>
    </row>
    <row r="3" spans="1:8" ht="18" customHeight="1" x14ac:dyDescent="0.2">
      <c r="A3" s="40"/>
      <c r="B3" s="40"/>
      <c r="C3" s="40"/>
      <c r="D3" s="41"/>
      <c r="E3" s="41"/>
      <c r="F3" s="41"/>
      <c r="G3" s="41"/>
      <c r="H3" s="41"/>
    </row>
    <row r="4" spans="1:8" ht="18" customHeight="1" x14ac:dyDescent="0.2">
      <c r="A4" s="40"/>
      <c r="B4" s="40"/>
      <c r="C4" s="40"/>
      <c r="D4" s="41"/>
      <c r="E4" s="41"/>
      <c r="F4" s="41"/>
      <c r="G4" s="41"/>
      <c r="H4" s="41"/>
    </row>
    <row r="5" spans="1:8" ht="41.25" customHeight="1" x14ac:dyDescent="0.2">
      <c r="A5" s="42" t="s">
        <v>50</v>
      </c>
      <c r="B5" s="43" t="s">
        <v>51</v>
      </c>
      <c r="C5" s="44" t="s">
        <v>52</v>
      </c>
      <c r="D5" s="41"/>
      <c r="E5" s="41"/>
      <c r="F5" s="41"/>
      <c r="G5" s="41"/>
      <c r="H5" s="41"/>
    </row>
    <row r="6" spans="1:8" ht="41.25" customHeight="1" x14ac:dyDescent="0.2">
      <c r="A6" s="42" t="s">
        <v>53</v>
      </c>
      <c r="B6" s="43" t="s">
        <v>54</v>
      </c>
      <c r="C6" s="44" t="s">
        <v>55</v>
      </c>
      <c r="D6" s="41"/>
      <c r="E6" s="41"/>
      <c r="F6" s="41"/>
      <c r="G6" s="41"/>
      <c r="H6" s="41"/>
    </row>
    <row r="7" spans="1:8" ht="41.25" customHeight="1" x14ac:dyDescent="0.2">
      <c r="A7" s="42" t="s">
        <v>56</v>
      </c>
      <c r="B7" s="43" t="s">
        <v>57</v>
      </c>
      <c r="C7" s="44" t="s">
        <v>58</v>
      </c>
      <c r="D7" s="41"/>
      <c r="E7" s="41"/>
      <c r="F7" s="41"/>
      <c r="G7" s="41"/>
      <c r="H7" s="41"/>
    </row>
    <row r="8" spans="1:8" ht="41.25" customHeight="1" x14ac:dyDescent="0.2">
      <c r="A8" s="42" t="s">
        <v>59</v>
      </c>
      <c r="B8" s="43" t="s">
        <v>9</v>
      </c>
      <c r="C8" s="44" t="s">
        <v>60</v>
      </c>
      <c r="D8" s="41"/>
      <c r="E8" s="41"/>
      <c r="F8" s="41"/>
      <c r="G8" s="41"/>
      <c r="H8" s="41"/>
    </row>
    <row r="9" spans="1:8" ht="41.25" customHeight="1" x14ac:dyDescent="0.2">
      <c r="A9" s="42" t="s">
        <v>61</v>
      </c>
      <c r="B9" s="43" t="s">
        <v>24</v>
      </c>
      <c r="C9" s="44" t="s">
        <v>62</v>
      </c>
      <c r="D9" s="41"/>
      <c r="E9" s="41"/>
      <c r="F9" s="41"/>
      <c r="G9" s="41"/>
      <c r="H9" s="41"/>
    </row>
    <row r="10" spans="1:8" ht="41.25" customHeight="1" x14ac:dyDescent="0.2">
      <c r="A10" s="42" t="s">
        <v>63</v>
      </c>
      <c r="B10" s="43" t="s">
        <v>64</v>
      </c>
      <c r="C10" s="44" t="s">
        <v>65</v>
      </c>
      <c r="D10" s="41"/>
      <c r="E10" s="41"/>
      <c r="F10" s="41"/>
      <c r="G10" s="41"/>
      <c r="H10" s="41"/>
    </row>
    <row r="11" spans="1:8" ht="41.25" customHeight="1" x14ac:dyDescent="0.2">
      <c r="A11" s="42" t="s">
        <v>66</v>
      </c>
      <c r="B11" s="43" t="s">
        <v>67</v>
      </c>
      <c r="C11" s="44" t="s">
        <v>68</v>
      </c>
      <c r="D11" s="41"/>
      <c r="E11" s="41"/>
      <c r="F11" s="41"/>
      <c r="G11" s="41"/>
      <c r="H11" s="41"/>
    </row>
    <row r="12" spans="1:8" ht="41.25" customHeight="1" x14ac:dyDescent="0.2">
      <c r="A12" s="42" t="s">
        <v>69</v>
      </c>
      <c r="B12" s="43" t="s">
        <v>70</v>
      </c>
      <c r="C12" s="44" t="s">
        <v>71</v>
      </c>
      <c r="D12" s="41"/>
      <c r="E12" s="41"/>
      <c r="F12" s="41"/>
      <c r="G12" s="41"/>
      <c r="H12" s="41"/>
    </row>
  </sheetData>
  <mergeCells count="1">
    <mergeCell ref="A1:H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Inventory Data</vt:lpstr>
      <vt:lpstr>Project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Zion Blackwell</cp:lastModifiedBy>
  <cp:revision>1</cp:revision>
  <dcterms:created xsi:type="dcterms:W3CDTF">2026-10-10T16:12:45Z</dcterms:created>
  <dcterms:modified xsi:type="dcterms:W3CDTF">2026-10-10T17:44:10Z</dcterms:modified>
  <dc:language>en-US</dc:language>
</cp:coreProperties>
</file>